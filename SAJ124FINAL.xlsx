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WNLOADEDOriginal Dataset (Unt" sheetId="1" r:id="rId5"/>
    <sheet state="visible" name="Working Data Set" sheetId="2" r:id="rId6"/>
    <sheet state="visible" name="Pivot" sheetId="3" r:id="rId7"/>
    <sheet state="visible" name="Pivot Table Percentage Calculat" sheetId="4" r:id="rId8"/>
    <sheet state="visible" name="Line Chart Data" sheetId="5" r:id="rId9"/>
    <sheet state="visible" name="Chart4" sheetId="6" r:id="rId10"/>
    <sheet state="visible" name="2010 - 2025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<sst xmlns="http://schemas.openxmlformats.org/spreadsheetml/2006/main" count="2398" uniqueCount="27">
  <si>
    <t>year_month</t>
  </si>
  <si>
    <t>year</t>
  </si>
  <si>
    <t>month</t>
  </si>
  <si>
    <t>region</t>
  </si>
  <si>
    <t>rpk_billions</t>
  </si>
  <si>
    <t>ask_billions</t>
  </si>
  <si>
    <t>load_factor_pct</t>
  </si>
  <si>
    <t>North America</t>
  </si>
  <si>
    <t>Europe</t>
  </si>
  <si>
    <t>Asia Pacific</t>
  </si>
  <si>
    <t>Middle East</t>
  </si>
  <si>
    <t>Latin America</t>
  </si>
  <si>
    <t>Africa</t>
  </si>
  <si>
    <t>RPK (Billions)</t>
  </si>
  <si>
    <t>ASK (Billions)</t>
  </si>
  <si>
    <t>Load Factor (RPK/ASK)</t>
  </si>
  <si>
    <r>
      <rPr>
        <rFont val="Arial"/>
        <b/>
        <color theme="1"/>
      </rPr>
      <t xml:space="preserve">MONTH - YEAR </t>
    </r>
    <r>
      <rPr>
        <rFont val="Arial"/>
        <b/>
        <i/>
        <color theme="1"/>
      </rPr>
      <t>Text</t>
    </r>
  </si>
  <si>
    <t>DATE</t>
  </si>
  <si>
    <t>SUM of RPK (Billions)</t>
  </si>
  <si>
    <t>Grand Total</t>
  </si>
  <si>
    <t>REGION</t>
  </si>
  <si>
    <t>RPK 2010</t>
  </si>
  <si>
    <t>RPK 2019</t>
  </si>
  <si>
    <t>RPK 2025</t>
  </si>
  <si>
    <t>GROWTH 2010 - 2025</t>
  </si>
  <si>
    <t>GROWTH SINCE 2019</t>
  </si>
  <si>
    <t>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</si>
</sst>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2" numFmtId="14" xfId="0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chartsheet" Target="chartsheets/sheet2.xml"/><Relationship Id="rId10" Type="http://schemas.openxmlformats.org/officeDocument/2006/relationships/chartsheet" Target="chartsheets/sheet1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000000"/>
                </a:solidFill>
                <a:latin typeface="Garamond"/>
              </a:defRPr>
            </a:pPr>
            <a:r>
              <a:rPr b="0" sz="3000">
                <a:solidFill>
                  <a:srgbClr val="000000"/>
                </a:solidFill>
                <a:latin typeface="Garamond"/>
              </a:rPr>
              <a:t>Regional Passenger Traffic Growth Since 2019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Percentage Calculat'!$F$1</c:f>
            </c:strRef>
          </c:tx>
          <c:spPr>
            <a:solidFill>
              <a:srgbClr val="4A86E8">
                <a:alpha val="90196"/>
              </a:srgbClr>
            </a:solidFill>
            <a:ln cmpd="sng" w="19050">
              <a:noFill/>
            </a:ln>
          </c:spPr>
          <c:cat>
            <c:strRef>
              <c:f>'Pivot Table Percentage Calculat'!$A$2:$A$7</c:f>
            </c:strRef>
          </c:cat>
          <c:val>
            <c:numRef>
              <c:f>'Pivot Table Percentage Calculat'!$F$2:$F$7</c:f>
              <c:numCache/>
            </c:numRef>
          </c:val>
        </c:ser>
        <c:axId val="749933722"/>
        <c:axId val="1878083288"/>
      </c:barChart>
      <c:catAx>
        <c:axId val="7499337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Garamond"/>
                  </a:defRPr>
                </a:pPr>
                <a:r>
                  <a:rPr b="0" sz="2400">
                    <a:solidFill>
                      <a:srgbClr val="000000"/>
                    </a:solidFill>
                    <a:latin typeface="Garamond"/>
                  </a:rPr>
                  <a:t>World 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Garamond"/>
              </a:defRPr>
            </a:pPr>
          </a:p>
        </c:txPr>
        <c:crossAx val="1878083288"/>
      </c:catAx>
      <c:valAx>
        <c:axId val="18780832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Garamond"/>
                  </a:defRPr>
                </a:pPr>
                <a:r>
                  <a:rPr b="1" sz="2000">
                    <a:solidFill>
                      <a:srgbClr val="000000"/>
                    </a:solidFill>
                    <a:latin typeface="Garamond"/>
                  </a:rPr>
                  <a:t>RPK Growth since 2019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Garamond"/>
              </a:defRPr>
            </a:pPr>
          </a:p>
        </c:txPr>
        <c:crossAx val="74993372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Garamond"/>
              </a:defRPr>
            </a:pPr>
            <a:r>
              <a:rPr b="1" sz="2400">
                <a:solidFill>
                  <a:srgbClr val="000000"/>
                </a:solidFill>
                <a:latin typeface="Garamond"/>
              </a:rPr>
              <a:t>Regional Passenger Traffic Growth (2010 -2025)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Percentage Calculat'!$E$1</c:f>
            </c:strRef>
          </c:tx>
          <c:spPr>
            <a:solidFill>
              <a:srgbClr val="4A86E8"/>
            </a:solidFill>
            <a:ln cmpd="sng" w="38100">
              <a:noFill/>
              <a:prstDash val="solid"/>
            </a:ln>
          </c:spPr>
          <c:cat>
            <c:strRef>
              <c:f>'Pivot Table Percentage Calculat'!$A$2:$A$7</c:f>
            </c:strRef>
          </c:cat>
          <c:val>
            <c:numRef>
              <c:f>'Pivot Table Percentage Calculat'!$E$2:$E$7</c:f>
              <c:numCache/>
            </c:numRef>
          </c:val>
        </c:ser>
        <c:axId val="30280768"/>
        <c:axId val="772514710"/>
      </c:barChart>
      <c:catAx>
        <c:axId val="30280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Garamond"/>
                  </a:defRPr>
                </a:pPr>
                <a:r>
                  <a:rPr b="0" sz="2400">
                    <a:solidFill>
                      <a:srgbClr val="000000"/>
                    </a:solidFill>
                    <a:latin typeface="Garamond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Garamond"/>
              </a:defRPr>
            </a:pPr>
          </a:p>
        </c:txPr>
        <c:crossAx val="772514710"/>
      </c:catAx>
      <c:valAx>
        <c:axId val="772514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Garamond"/>
                  </a:defRPr>
                </a:pPr>
                <a:r>
                  <a:rPr b="0" sz="2400">
                    <a:solidFill>
                      <a:srgbClr val="000000"/>
                    </a:solidFill>
                    <a:latin typeface="Garamond"/>
                  </a:rPr>
                  <a:t>RPK GROWTH 2010 -2025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Garamond"/>
              </a:defRPr>
            </a:pPr>
          </a:p>
        </c:txPr>
        <c:crossAx val="302807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  <c:spPr>
    <a:solidFill>
      <a:srgbClr val="F3F3F3"/>
    </a:solidFill>
  </c:spPr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177" sheet="Working Data Set"/>
  </cacheSource>
  <cacheFields>
    <cacheField name="year_month" numFmtId="164">
      <sharedItems containsSemiMixedTypes="0" containsDate="1" containsString="0">
        <d v="2010-01-01T00:00:00Z"/>
        <d v="2010-02-01T00:00:00Z"/>
        <d v="2010-03-01T00:00:00Z"/>
        <d v="2010-04-01T00:00:00Z"/>
        <d v="2010-05-01T00:00:00Z"/>
        <d v="2010-06-01T00:00:00Z"/>
        <d v="2010-07-01T00:00:00Z"/>
        <d v="2010-08-01T00:00:00Z"/>
        <d v="2010-09-01T00:00:00Z"/>
        <d v="2010-10-01T00:00:00Z"/>
        <d v="2010-11-01T00:00:00Z"/>
        <d v="2010-12-01T00:00:00Z"/>
        <d v="2011-01-01T00:00:00Z"/>
        <d v="2011-02-01T00:00:00Z"/>
        <d v="2011-03-01T00:00:00Z"/>
        <d v="2011-04-01T00:00:00Z"/>
        <d v="2011-05-01T00:00:00Z"/>
        <d v="2011-06-01T00:00:00Z"/>
        <d v="2011-07-01T00:00:00Z"/>
        <d v="2011-08-01T00:00:00Z"/>
        <d v="2011-09-01T00:00:00Z"/>
        <d v="2011-10-01T00:00:00Z"/>
        <d v="2011-11-01T00:00:00Z"/>
        <d v="2011-12-01T00:00:00Z"/>
        <d v="2012-01-01T00:00:00Z"/>
        <d v="2012-02-01T00:00:00Z"/>
        <d v="2012-03-01T00:00:00Z"/>
        <d v="2012-04-01T00:00:00Z"/>
        <d v="2012-05-01T00:00:00Z"/>
        <d v="2012-06-01T00:00:00Z"/>
        <d v="2012-07-01T00:00:00Z"/>
        <d v="2012-08-01T00:00:00Z"/>
        <d v="2012-09-01T00:00:00Z"/>
        <d v="2012-10-01T00:00:00Z"/>
        <d v="2012-11-01T00:00:00Z"/>
        <d v="2012-12-01T00:00:00Z"/>
        <d v="2013-01-01T00:00:00Z"/>
        <d v="2013-02-01T00:00:00Z"/>
        <d v="2013-03-01T00:00:00Z"/>
        <d v="2013-04-01T00:00:00Z"/>
        <d v="2013-05-01T00:00:00Z"/>
        <d v="2013-06-01T00:00:00Z"/>
        <d v="2013-07-01T00:00:00Z"/>
        <d v="2013-08-01T00:00:00Z"/>
        <d v="2013-09-01T00:00:00Z"/>
        <d v="2013-10-01T00:00:00Z"/>
        <d v="2013-11-01T00:00:00Z"/>
        <d v="2013-12-01T00:00:00Z"/>
        <d v="2014-01-01T00:00:00Z"/>
        <d v="2014-02-01T00:00:00Z"/>
        <d v="2014-03-01T00:00:00Z"/>
        <d v="2014-04-01T00:00:00Z"/>
        <d v="2014-05-01T00:00:00Z"/>
        <d v="2014-06-01T00:00:00Z"/>
        <d v="2014-07-01T00:00:00Z"/>
        <d v="2014-08-01T00:00:00Z"/>
        <d v="2014-09-01T00:00:00Z"/>
        <d v="2014-10-01T00:00:00Z"/>
        <d v="2014-11-01T00:00:00Z"/>
        <d v="2014-12-01T00:00:00Z"/>
        <d v="2015-01-01T00:00:00Z"/>
        <d v="2015-02-01T00:00:00Z"/>
        <d v="2015-03-01T00:00:00Z"/>
        <d v="2015-04-01T00:00:00Z"/>
        <d v="2015-05-01T00:00:00Z"/>
        <d v="2015-06-01T00:00:00Z"/>
        <d v="2015-07-01T00:00:00Z"/>
        <d v="2015-08-01T00:00:00Z"/>
        <d v="2015-09-01T00:00:00Z"/>
        <d v="2015-10-01T00:00:00Z"/>
        <d v="2015-11-01T00:00:00Z"/>
        <d v="2015-12-01T00:00:00Z"/>
        <d v="2016-01-01T00:00:00Z"/>
        <d v="2016-02-01T00:00:00Z"/>
        <d v="2016-03-01T00:00:00Z"/>
        <d v="2016-04-01T00:00:00Z"/>
        <d v="2016-05-01T00:00:00Z"/>
        <d v="2016-06-01T00:00:00Z"/>
        <d v="2016-07-01T00:00:00Z"/>
        <d v="2016-08-01T00:00:00Z"/>
        <d v="2016-09-01T00:00:00Z"/>
        <d v="2016-10-01T00:00:00Z"/>
        <d v="2016-11-01T00:00:00Z"/>
        <d v="2016-12-01T00:00:00Z"/>
        <d v="2017-01-01T00:00:00Z"/>
        <d v="2017-02-01T00:00:00Z"/>
        <d v="2017-03-01T00:00:00Z"/>
        <d v="2017-04-01T00:00:00Z"/>
        <d v="2017-05-01T00:00:00Z"/>
        <d v="2017-06-01T00:00:00Z"/>
        <d v="2017-07-01T00:00:00Z"/>
        <d v="2017-08-01T00:00:00Z"/>
        <d v="2017-09-01T00:00:00Z"/>
        <d v="2017-10-01T00:00:00Z"/>
        <d v="2017-11-01T00:00:00Z"/>
        <d v="2017-12-01T00:00:00Z"/>
        <d v="2018-01-01T00:00:00Z"/>
        <d v="2018-02-01T00:00:00Z"/>
        <d v="2018-03-01T00:00:00Z"/>
        <d v="2018-04-01T00:00:00Z"/>
        <d v="2018-05-01T00:00:00Z"/>
        <d v="2018-06-01T00:00:00Z"/>
        <d v="2018-07-01T00:00:00Z"/>
        <d v="2018-08-01T00:00:00Z"/>
        <d v="2018-09-01T00:00:00Z"/>
        <d v="2018-10-01T00:00:00Z"/>
        <d v="2018-11-01T00:00:00Z"/>
        <d v="2018-12-01T00:00:00Z"/>
        <d v="2019-01-01T00:00:00Z"/>
        <d v="2019-02-01T00:00:00Z"/>
        <d v="2019-03-01T00:00:00Z"/>
        <d v="2019-04-01T00:00:00Z"/>
        <d v="2019-05-01T00:00:00Z"/>
        <d v="2019-06-01T00:00:00Z"/>
        <d v="2019-07-01T00:00:00Z"/>
        <d v="2019-08-01T00:00:00Z"/>
        <d v="2019-09-01T00:00:00Z"/>
        <d v="2019-10-01T00:00:00Z"/>
        <d v="2019-11-01T00:00:00Z"/>
        <d v="2019-12-01T00:00:00Z"/>
        <d v="2020-01-01T00:00:00Z"/>
        <d v="2020-02-01T00:00:00Z"/>
        <d v="2020-03-01T00:00:00Z"/>
        <d v="2020-04-01T00:00:00Z"/>
        <d v="2020-05-01T00:00:00Z"/>
        <d v="2020-06-01T00:00:00Z"/>
        <d v="2020-07-01T00:00:00Z"/>
        <d v="2020-08-01T00:00:00Z"/>
        <d v="2020-09-01T00:00:00Z"/>
        <d v="2020-10-01T00:00:00Z"/>
        <d v="2020-11-01T00:00:00Z"/>
        <d v="2020-12-01T00:00:00Z"/>
        <d v="2021-01-01T00:00:00Z"/>
        <d v="2021-02-01T00:00:00Z"/>
        <d v="2021-03-01T00:00:00Z"/>
        <d v="2021-04-01T00:00:00Z"/>
        <d v="2021-05-01T00:00:00Z"/>
        <d v="2021-06-01T00:00:00Z"/>
        <d v="2021-07-01T00:00:00Z"/>
        <d v="2021-08-01T00:00:00Z"/>
        <d v="2021-09-01T00:00:00Z"/>
        <d v="2021-10-01T00:00:00Z"/>
        <d v="2021-11-01T00:00:00Z"/>
        <d v="2021-12-01T00:00:00Z"/>
        <d v="2022-01-01T00:00:00Z"/>
        <d v="2022-02-01T00:00:00Z"/>
        <d v="2022-03-01T00:00:00Z"/>
        <d v="2022-04-01T00:00:00Z"/>
        <d v="2022-05-01T00:00:00Z"/>
        <d v="2022-06-01T00:00:00Z"/>
        <d v="2022-07-01T00:00:00Z"/>
        <d v="2022-08-01T00:00:00Z"/>
        <d v="2022-09-01T00:00:00Z"/>
        <d v="2022-10-01T00:00:00Z"/>
        <d v="2022-11-01T00:00:00Z"/>
        <d v="2022-12-01T00:00:00Z"/>
        <d v="2023-01-01T00:00:00Z"/>
        <d v="2023-02-01T00:00:00Z"/>
        <d v="2023-03-01T00:00:00Z"/>
        <d v="2023-04-01T00:00:00Z"/>
        <d v="2023-05-01T00:00:00Z"/>
        <d v="2023-06-01T00:00:00Z"/>
        <d v="2023-07-01T00:00:00Z"/>
        <d v="2023-08-01T00:00:00Z"/>
        <d v="2023-09-01T00:00:00Z"/>
        <d v="2023-10-01T00:00:00Z"/>
        <d v="2023-11-01T00:00:00Z"/>
        <d v="2023-12-01T00:00:00Z"/>
        <d v="2024-01-01T00:00:00Z"/>
        <d v="2024-02-01T00:00:00Z"/>
        <d v="2024-03-01T00:00:00Z"/>
        <d v="2024-04-01T00:00:00Z"/>
        <d v="2024-05-01T00:00:00Z"/>
        <d v="2024-06-01T00:00:00Z"/>
        <d v="2024-07-01T00:00:00Z"/>
        <d v="2024-08-01T00:00:00Z"/>
        <d v="2024-09-01T00:00:00Z"/>
        <d v="2024-10-01T00:00:00Z"/>
        <d v="2024-11-01T00:00:00Z"/>
        <d v="2024-12-01T00:00:00Z"/>
        <d v="2025-01-01T00:00:00Z"/>
        <d v="2025-02-01T00:00:00Z"/>
        <d v="2025-03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</sharedItems>
    </cacheField>
    <cacheField name="year" numFmtId="0">
      <sharedItems containsSemiMixedTypes="0" containsString="0" containsNumber="1" containsInteger="1"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region" numFmtId="0">
      <sharedItems>
        <s v="North America"/>
        <s v="Europe"/>
        <s v="Asia Pacific"/>
        <s v="Middle East"/>
        <s v="Latin America"/>
        <s v="Africa"/>
      </sharedItems>
    </cacheField>
    <cacheField name="RPK (Billions)" numFmtId="0">
      <sharedItems containsSemiMixedTypes="0" containsString="0" containsNumber="1">
        <n v="61.73"/>
        <n v="58.63"/>
        <n v="60.16"/>
        <n v="64.07"/>
        <n v="69.43"/>
        <n v="76.14"/>
        <n v="82.62"/>
        <n v="84.79"/>
        <n v="82.23"/>
        <n v="78.9"/>
        <n v="74.55"/>
        <n v="64.09"/>
        <n v="64.62"/>
        <n v="65.45"/>
        <n v="60.98"/>
        <n v="63.46"/>
        <n v="74.31"/>
        <n v="83.24"/>
        <n v="84.54"/>
        <n v="88.37"/>
        <n v="86.29"/>
        <n v="78.79"/>
        <n v="73.97"/>
        <n v="67.15"/>
        <n v="69.75"/>
        <n v="66.97"/>
        <n v="66.84"/>
        <n v="71.0"/>
        <n v="75.69"/>
        <n v="84.6"/>
        <n v="86.24"/>
        <n v="88.99"/>
        <n v="87.0"/>
        <n v="86.58"/>
        <n v="78.59"/>
        <n v="73.54"/>
        <n v="66.75"/>
        <n v="66.41"/>
        <n v="69.83"/>
        <n v="70.65"/>
        <n v="79.81"/>
        <n v="87.9"/>
        <n v="96.11"/>
        <n v="92.78"/>
        <n v="87.21"/>
        <n v="80.03"/>
        <n v="72.22"/>
        <n v="73.57"/>
        <n v="69.12"/>
        <n v="68.95"/>
        <n v="75.02"/>
        <n v="84.27"/>
        <n v="90.26"/>
        <n v="91.48"/>
        <n v="99.74"/>
        <n v="91.02"/>
        <n v="94.39"/>
        <n v="85.03"/>
        <n v="77.51"/>
        <n v="73.4"/>
        <n v="72.62"/>
        <n v="75.55"/>
        <n v="75.15"/>
        <n v="83.98"/>
        <n v="92.74"/>
        <n v="101.1"/>
        <n v="103.04"/>
        <n v="102.91"/>
        <n v="96.67"/>
        <n v="85.14"/>
        <n v="80.92"/>
        <n v="78.88"/>
        <n v="77.0"/>
        <n v="76.28"/>
        <n v="83.05"/>
        <n v="90.41"/>
        <n v="95.72"/>
        <n v="104.3"/>
        <n v="100.64"/>
        <n v="105.16"/>
        <n v="95.44"/>
        <n v="85.91"/>
        <n v="79.21"/>
        <n v="79.05"/>
        <n v="74.62"/>
        <n v="83.53"/>
        <n v="82.6"/>
        <n v="91.42"/>
        <n v="96.48"/>
        <n v="98.95"/>
        <n v="107.36"/>
        <n v="99.39"/>
        <n v="100.6"/>
        <n v="92.01"/>
        <n v="83.44"/>
        <n v="84.18"/>
        <n v="81.0"/>
        <n v="82.14"/>
        <n v="89.2"/>
        <n v="89.83"/>
        <n v="99.87"/>
        <n v="108.24"/>
        <n v="117.14"/>
        <n v="108.09"/>
        <n v="100.96"/>
        <n v="89.1"/>
        <n v="93.79"/>
        <n v="77.32"/>
        <n v="70.57"/>
        <n v="75.82"/>
        <n v="77.96"/>
        <n v="77.33"/>
        <n v="74.35"/>
        <n v="70.49"/>
        <n v="71.02"/>
        <n v="59.03"/>
        <n v="49.38"/>
        <n v="42.21"/>
        <n v="35.64"/>
        <n v="34.7"/>
        <n v="5.94"/>
        <n v="6.33"/>
        <n v="7.15"/>
        <n v="8.28"/>
        <n v="55.13"/>
        <n v="20.6"/>
        <n v="21.56"/>
        <n v="21.5"/>
        <n v="19.67"/>
        <n v="18.74"/>
        <n v="53.64"/>
        <n v="25.44"/>
        <n v="25.01"/>
        <n v="26.58"/>
        <n v="29.21"/>
        <n v="33.05"/>
        <n v="81.41"/>
        <n v="58.45"/>
        <n v="54.1"/>
        <n v="55.25"/>
        <n v="50.33"/>
        <n v="47.42"/>
        <n v="72.73"/>
        <n v="68.76"/>
        <n v="68.71"/>
        <n v="78.66"/>
        <n v="78.81"/>
        <n v="92.35"/>
        <n v="94.89"/>
        <n v="96.49"/>
        <n v="95.48"/>
        <n v="92.04"/>
        <n v="85.52"/>
        <n v="81.86"/>
        <n v="75.63"/>
        <n v="71.15"/>
        <n v="77.73"/>
        <n v="85.68"/>
        <n v="85.45"/>
        <n v="98.16"/>
        <n v="102.52"/>
        <n v="109.59"/>
        <n v="104.64"/>
        <n v="103.41"/>
        <n v="96.52"/>
        <n v="89.98"/>
        <n v="87.53"/>
        <n v="81.26"/>
        <n v="84.11"/>
        <n v="90.61"/>
        <n v="97.26"/>
        <n v="103.74"/>
        <n v="107.23"/>
        <n v="112.45"/>
        <n v="105.87"/>
        <n v="99.36"/>
        <n v="95.25"/>
        <n v="93.17"/>
        <n v="86.74"/>
        <n v="86.08"/>
        <n v="84.8"/>
        <n v="95.2"/>
        <n v="95.9"/>
        <n v="104.32"/>
        <n v="117.1"/>
        <n v="116.41"/>
        <n v="116.47"/>
        <n v="109.62"/>
        <n v="99.8"/>
        <n v="90.81"/>
        <n v="84.01"/>
        <n v="91.53"/>
        <n v="84.52"/>
        <n v="98.46"/>
        <n v="68.07"/>
        <n v="68.92"/>
        <n v="74.37"/>
        <n v="77.62"/>
        <n v="80.45"/>
        <n v="89.05"/>
        <n v="93.92"/>
        <n v="88.54"/>
        <n v="90.25"/>
        <n v="81.35"/>
        <n v="73.28"/>
        <n v="72.01"/>
        <n v="71.28"/>
        <n v="73.45"/>
        <n v="70.77"/>
        <n v="76.54"/>
        <n v="93.38"/>
        <n v="100.77"/>
        <n v="88.89"/>
        <n v="83.48"/>
        <n v="81.73"/>
        <n v="77.02"/>
        <n v="79.92"/>
        <n v="78.52"/>
        <n v="86.17"/>
        <n v="95.55"/>
        <n v="94.19"/>
        <n v="97.36"/>
        <n v="98.66"/>
        <n v="102.85"/>
        <n v="91.14"/>
        <n v="82.39"/>
        <n v="76.95"/>
        <n v="75.07"/>
        <n v="78.6"/>
        <n v="83.75"/>
        <n v="101.48"/>
        <n v="105.25"/>
        <n v="110.44"/>
        <n v="105.39"/>
        <n v="106.89"/>
        <n v="97.08"/>
        <n v="88.67"/>
        <n v="84.41"/>
        <n v="80.21"/>
        <n v="83.19"/>
        <n v="94.86"/>
        <n v="100.55"/>
        <n v="112.33"/>
        <n v="116.21"/>
        <n v="112.65"/>
        <n v="106.03"/>
        <n v="106.08"/>
        <n v="90.34"/>
        <n v="87.67"/>
        <n v="88.35"/>
        <n v="85.0"/>
        <n v="95.67"/>
        <n v="107.59"/>
        <n v="110.15"/>
        <n v="116.94"/>
        <n v="116.69"/>
        <n v="119.2"/>
        <n v="109.71"/>
        <n v="104.78"/>
        <n v="93.37"/>
        <n v="85.3"/>
        <n v="89.24"/>
        <n v="91.73"/>
        <n v="98.26"/>
        <n v="110.41"/>
        <n v="120.18"/>
        <n v="124.25"/>
        <n v="128.44"/>
        <n v="121.48"/>
        <n v="115.3"/>
        <n v="112.67"/>
        <n v="99.72"/>
        <n v="93.94"/>
        <n v="104.18"/>
        <n v="100.06"/>
        <n v="99.44"/>
        <n v="110.32"/>
        <n v="129.61"/>
        <n v="131.43"/>
        <n v="132.14"/>
        <n v="130.94"/>
        <n v="124.5"/>
        <n v="112.16"/>
        <n v="107.84"/>
        <n v="98.79"/>
        <n v="100.89"/>
        <n v="100.74"/>
        <n v="111.83"/>
        <n v="120.57"/>
        <n v="132.59"/>
        <n v="134.81"/>
        <n v="141.7"/>
        <n v="140.48"/>
        <n v="134.96"/>
        <n v="125.93"/>
        <n v="111.51"/>
        <n v="113.01"/>
        <n v="94.53"/>
        <n v="98.1"/>
        <n v="94.05"/>
        <n v="93.35"/>
        <n v="96.73"/>
        <n v="94.62"/>
        <n v="87.44"/>
        <n v="76.99"/>
        <n v="66.6"/>
        <n v="56.12"/>
        <n v="44.38"/>
        <n v="35.75"/>
        <n v="36.8"/>
        <n v="5.79"/>
        <n v="6.75"/>
        <n v="7.91"/>
        <n v="8.34"/>
        <n v="59.54"/>
        <n v="22.83"/>
        <n v="23.55"/>
        <n v="22.12"/>
        <n v="21.75"/>
        <n v="20.12"/>
        <n v="58.62"/>
        <n v="25.93"/>
        <n v="27.85"/>
        <n v="28.87"/>
        <n v="33.75"/>
        <n v="57.98"/>
        <n v="61.25"/>
        <n v="60.84"/>
        <n v="53.05"/>
        <n v="51.92"/>
        <n v="74.82"/>
        <n v="80.68"/>
        <n v="88.17"/>
        <n v="94.11"/>
        <n v="104.42"/>
        <n v="107.18"/>
        <n v="113.96"/>
        <n v="111.79"/>
        <n v="111.06"/>
        <n v="100.08"/>
        <n v="96.5"/>
        <n v="86.82"/>
        <n v="91.78"/>
        <n v="112.69"/>
        <n v="119.3"/>
        <n v="129.65"/>
        <n v="130.02"/>
        <n v="134.78"/>
        <n v="132.81"/>
        <n v="118.47"/>
        <n v="110.4"/>
        <n v="100.69"/>
        <n v="100.82"/>
        <n v="103.44"/>
        <n v="113.76"/>
        <n v="124.65"/>
        <n v="133.19"/>
        <n v="134.83"/>
        <n v="149.08"/>
        <n v="135.79"/>
        <n v="133.34"/>
        <n v="123.61"/>
        <n v="112.98"/>
        <n v="105.02"/>
        <n v="107.42"/>
        <n v="121.3"/>
        <n v="126.68"/>
        <n v="127.49"/>
        <n v="139.31"/>
        <n v="148.44"/>
        <n v="147.61"/>
        <n v="135.32"/>
        <n v="128.5"/>
        <n v="122.78"/>
        <n v="112.39"/>
        <n v="109.0"/>
        <n v="109.47"/>
        <n v="123.57"/>
        <n v="61.91"/>
        <n v="70.64"/>
        <n v="64.82"/>
        <n v="73.66"/>
        <n v="80.8"/>
        <n v="98.24"/>
        <n v="89.64"/>
        <n v="96.19"/>
        <n v="87.88"/>
        <n v="85.69"/>
        <n v="75.85"/>
        <n v="72.76"/>
        <n v="70.29"/>
        <n v="78.38"/>
        <n v="86.57"/>
        <n v="94.33"/>
        <n v="99.81"/>
        <n v="101.52"/>
        <n v="101.29"/>
        <n v="97.06"/>
        <n v="89.01"/>
        <n v="86.71"/>
        <n v="79.03"/>
        <n v="78.85"/>
        <n v="83.54"/>
        <n v="88.07"/>
        <n v="88.7"/>
        <n v="100.38"/>
        <n v="106.48"/>
        <n v="111.47"/>
        <n v="110.17"/>
        <n v="102.19"/>
        <n v="95.59"/>
        <n v="86.85"/>
        <n v="82.84"/>
        <n v="84.96"/>
        <n v="87.11"/>
        <n v="91.93"/>
        <n v="93.03"/>
        <n v="108.41"/>
        <n v="118.92"/>
        <n v="116.31"/>
        <n v="114.63"/>
        <n v="101.35"/>
        <n v="97.62"/>
        <n v="89.5"/>
        <n v="92.85"/>
        <n v="84.64"/>
        <n v="95.29"/>
        <n v="105.46"/>
        <n v="116.98"/>
        <n v="118.82"/>
        <n v="121.18"/>
        <n v="124.35"/>
        <n v="116.37"/>
        <n v="111.27"/>
        <n v="102.2"/>
        <n v="92.44"/>
        <n v="93.73"/>
        <n v="98.97"/>
        <n v="107.29"/>
        <n v="111.15"/>
        <n v="117.02"/>
        <n v="128.84"/>
        <n v="131.41"/>
        <n v="138.6"/>
        <n v="121.35"/>
        <n v="123.68"/>
        <n v="108.57"/>
        <n v="97.78"/>
        <n v="102.3"/>
        <n v="104.99"/>
        <n v="117.83"/>
        <n v="121.87"/>
        <n v="141.78"/>
        <n v="146.53"/>
        <n v="146.07"/>
        <n v="139.98"/>
        <n v="139.15"/>
        <n v="128.75"/>
        <n v="122.45"/>
        <n v="116.54"/>
        <n v="121.2"/>
        <n v="113.93"/>
        <n v="132.88"/>
        <n v="141.96"/>
        <n v="154.36"/>
        <n v="154.86"/>
        <n v="147.21"/>
        <n v="143.52"/>
        <n v="134.85"/>
        <n v="127.09"/>
        <n v="128.1"/>
        <n v="121.08"/>
        <n v="123.03"/>
        <n v="135.67"/>
        <n v="145.16"/>
        <n v="157.81"/>
        <n v="164.43"/>
        <n v="165.34"/>
        <n v="167.61"/>
        <n v="160.03"/>
        <n v="154.12"/>
        <n v="139.78"/>
        <n v="129.5"/>
        <n v="119.91"/>
        <n v="127.07"/>
        <n v="111.73"/>
        <n v="125.9"/>
        <n v="123.11"/>
        <n v="121.52"/>
        <n v="116.25"/>
        <n v="103.55"/>
        <n v="88.41"/>
        <n v="79.29"/>
        <n v="64.12"/>
        <n v="51.3"/>
        <n v="53.61"/>
        <n v="7.54"/>
        <n v="8.97"/>
        <n v="8.76"/>
        <n v="10.22"/>
        <n v="69.84"/>
        <n v="24.92"/>
        <n v="25.46"/>
        <n v="24.09"/>
        <n v="23.17"/>
        <n v="19.92"/>
        <n v="57.64"/>
        <n v="25.33"/>
        <n v="26.39"/>
        <n v="27.18"/>
        <n v="31.87"/>
        <n v="32.94"/>
        <n v="76.02"/>
        <n v="47.69"/>
        <n v="49.62"/>
        <n v="49.26"/>
        <n v="47.01"/>
        <n v="41.89"/>
        <n v="64.06"/>
        <n v="60.43"/>
        <n v="67.23"/>
        <n v="74.46"/>
        <n v="84.1"/>
        <n v="92.55"/>
        <n v="101.43"/>
        <n v="102.65"/>
        <n v="111.85"/>
        <n v="108.59"/>
        <n v="102.29"/>
        <n v="99.47"/>
        <n v="97.58"/>
        <n v="95.81"/>
        <n v="105.6"/>
        <n v="110.45"/>
        <n v="117.07"/>
        <n v="133.5"/>
        <n v="147.16"/>
        <n v="155.22"/>
        <n v="150.63"/>
        <n v="141.92"/>
        <n v="137.93"/>
        <n v="126.1"/>
        <n v="129.32"/>
        <n v="122.51"/>
        <n v="125.04"/>
        <n v="140.3"/>
        <n v="155.9"/>
        <n v="157.1"/>
        <n v="170.56"/>
        <n v="172.65"/>
        <n v="179.07"/>
        <n v="163.73"/>
        <n v="148.86"/>
        <n v="142.63"/>
        <n v="139.84"/>
        <n v="131.61"/>
        <n v="133.94"/>
        <n v="145.3"/>
        <n v="153.85"/>
        <n v="170.3"/>
        <n v="178.02"/>
        <n v="198.72"/>
        <n v="172.56"/>
        <n v="170.41"/>
        <n v="160.49"/>
        <n v="147.59"/>
        <n v="145.52"/>
        <n v="137.34"/>
        <n v="137.54"/>
        <n v="153.17"/>
        <n v="13.81"/>
        <n v="13.47"/>
        <n v="14.84"/>
        <n v="15.49"/>
        <n v="16.85"/>
        <n v="18.37"/>
        <n v="19.47"/>
        <n v="19.61"/>
        <n v="19.18"/>
        <n v="18.89"/>
        <n v="17.54"/>
        <n v="15.58"/>
        <n v="15.18"/>
        <n v="15.27"/>
        <n v="16.42"/>
        <n v="17.19"/>
        <n v="18.19"/>
        <n v="19.58"/>
        <n v="22.25"/>
        <n v="21.93"/>
        <n v="20.05"/>
        <n v="20.89"/>
        <n v="20.09"/>
        <n v="17.73"/>
        <n v="17.44"/>
        <n v="17.23"/>
        <n v="17.12"/>
        <n v="19.71"/>
        <n v="20.78"/>
        <n v="22.15"/>
        <n v="23.61"/>
        <n v="23.44"/>
        <n v="23.18"/>
        <n v="22.79"/>
        <n v="21.41"/>
        <n v="19.96"/>
        <n v="19.21"/>
        <n v="18.42"/>
        <n v="21.55"/>
        <n v="22.35"/>
        <n v="25.1"/>
        <n v="25.68"/>
        <n v="26.73"/>
        <n v="25.43"/>
        <n v="25.52"/>
        <n v="24.29"/>
        <n v="21.0"/>
        <n v="21.45"/>
        <n v="22.32"/>
        <n v="23.19"/>
        <n v="26.57"/>
        <n v="30.57"/>
        <n v="28.54"/>
        <n v="27.77"/>
        <n v="26.87"/>
        <n v="26.5"/>
        <n v="23.96"/>
        <n v="22.58"/>
        <n v="21.91"/>
        <n v="22.77"/>
        <n v="24.02"/>
        <n v="27.04"/>
        <n v="28.4"/>
        <n v="29.65"/>
        <n v="31.82"/>
        <n v="29.62"/>
        <n v="29.25"/>
        <n v="25.73"/>
        <n v="24.3"/>
        <n v="23.67"/>
        <n v="23.11"/>
        <n v="23.76"/>
        <n v="28.72"/>
        <n v="30.51"/>
        <n v="30.95"/>
        <n v="32.52"/>
        <n v="34.12"/>
        <n v="33.16"/>
        <n v="29.61"/>
        <n v="25.92"/>
        <n v="25.15"/>
        <n v="24.93"/>
        <n v="25.51"/>
        <n v="28.08"/>
        <n v="30.15"/>
        <n v="30.86"/>
        <n v="32.99"/>
        <n v="35.38"/>
        <n v="32.62"/>
        <n v="31.71"/>
        <n v="28.2"/>
        <n v="25.84"/>
        <n v="26.53"/>
        <n v="29.33"/>
        <n v="27.5"/>
        <n v="32.46"/>
        <n v="34.04"/>
        <n v="34.6"/>
        <n v="34.09"/>
        <n v="33.28"/>
        <n v="33.45"/>
        <n v="32.13"/>
        <n v="30.29"/>
        <n v="28.81"/>
        <n v="25.95"/>
        <n v="24.9"/>
        <n v="24.5"/>
        <n v="25.32"/>
        <n v="23.43"/>
        <n v="20.84"/>
        <n v="16.75"/>
        <n v="14.27"/>
        <n v="11.81"/>
        <n v="9.58"/>
        <n v="9.9"/>
        <n v="1.65"/>
        <n v="1.61"/>
        <n v="2.04"/>
        <n v="2.26"/>
        <n v="15.97"/>
        <n v="5.76"/>
        <n v="5.69"/>
        <n v="5.85"/>
        <n v="5.5"/>
        <n v="5.15"/>
        <n v="14.74"/>
        <n v="6.7"/>
        <n v="6.28"/>
        <n v="7.76"/>
        <n v="8.07"/>
        <n v="9.44"/>
        <n v="14.83"/>
        <n v="15.0"/>
        <n v="14.93"/>
        <n v="14.02"/>
        <n v="12.01"/>
        <n v="18.57"/>
        <n v="19.12"/>
        <n v="21.06"/>
        <n v="21.49"/>
        <n v="23.15"/>
        <n v="24.68"/>
        <n v="27.12"/>
        <n v="28.63"/>
        <n v="28.58"/>
        <n v="27.2"/>
        <n v="26.42"/>
        <n v="25.17"/>
        <n v="24.41"/>
        <n v="25.78"/>
        <n v="30.06"/>
        <n v="32.59"/>
        <n v="35.0"/>
        <n v="36.96"/>
        <n v="33.49"/>
        <n v="35.45"/>
        <n v="29.82"/>
        <n v="27.03"/>
        <n v="29.19"/>
        <n v="30.97"/>
        <n v="32.65"/>
        <n v="35.87"/>
        <n v="37.21"/>
        <n v="40.06"/>
        <n v="36.13"/>
        <n v="38.51"/>
        <n v="33.72"/>
        <n v="32.16"/>
        <n v="29.24"/>
        <n v="30.21"/>
        <n v="31.42"/>
        <n v="33.42"/>
        <n v="36.53"/>
        <n v="38.86"/>
        <n v="41.15"/>
        <n v="42.11"/>
        <n v="41.19"/>
        <n v="39.6"/>
        <n v="38.09"/>
        <n v="36.44"/>
        <n v="32.15"/>
        <n v="32.23"/>
        <n v="31.95"/>
        <n v="34.65"/>
        <n v="11.99"/>
        <n v="12.08"/>
        <n v="11.71"/>
        <n v="11.15"/>
        <n v="10.78"/>
        <n v="10.02"/>
        <n v="10.23"/>
        <n v="10.61"/>
        <n v="10.56"/>
        <n v="10.87"/>
        <n v="12.46"/>
        <n v="12.14"/>
        <n v="12.56"/>
        <n v="12.94"/>
        <n v="11.96"/>
        <n v="12.1"/>
        <n v="10.99"/>
        <n v="10.57"/>
        <n v="10.35"/>
        <n v="10.7"/>
        <n v="11.6"/>
        <n v="11.86"/>
        <n v="13.11"/>
        <n v="13.22"/>
        <n v="12.99"/>
        <n v="13.39"/>
        <n v="12.64"/>
        <n v="12.05"/>
        <n v="11.32"/>
        <n v="10.84"/>
        <n v="11.53"/>
        <n v="12.17"/>
        <n v="12.86"/>
        <n v="13.5"/>
        <n v="14.01"/>
        <n v="13.8"/>
        <n v="13.7"/>
        <n v="13.1"/>
        <n v="13.37"/>
        <n v="13.05"/>
        <n v="11.88"/>
        <n v="12.15"/>
        <n v="12.5"/>
        <n v="13.35"/>
        <n v="13.59"/>
        <n v="14.45"/>
        <n v="14.4"/>
        <n v="14.5"/>
        <n v="13.88"/>
        <n v="13.77"/>
        <n v="13.18"/>
        <n v="12.6"/>
        <n v="12.12"/>
        <n v="13.38"/>
        <n v="13.87"/>
        <n v="13.84"/>
        <n v="15.24"/>
        <n v="14.63"/>
        <n v="15.13"/>
        <n v="13.68"/>
        <n v="13.32"/>
        <n v="12.73"/>
        <n v="14.38"/>
        <n v="14.66"/>
        <n v="15.38"/>
        <n v="16.78"/>
        <n v="17.06"/>
        <n v="16.22"/>
        <n v="16.08"/>
        <n v="14.54"/>
        <n v="13.66"/>
        <n v="14.15"/>
        <n v="14.76"/>
        <n v="15.34"/>
        <n v="15.79"/>
        <n v="15.73"/>
        <n v="16.99"/>
        <n v="17.57"/>
        <n v="16.73"/>
        <n v="17.76"/>
        <n v="16.68"/>
        <n v="15.77"/>
        <n v="15.33"/>
        <n v="14.35"/>
        <n v="15.96"/>
        <n v="16.92"/>
        <n v="16.97"/>
        <n v="18.48"/>
        <n v="18.67"/>
        <n v="19.11"/>
        <n v="18.21"/>
        <n v="18.12"/>
        <n v="16.3"/>
        <n v="15.4"/>
        <n v="16.53"/>
        <n v="16.25"/>
        <n v="16.76"/>
        <n v="17.32"/>
        <n v="18.54"/>
        <n v="19.25"/>
        <n v="19.14"/>
        <n v="17.42"/>
        <n v="16.77"/>
        <n v="15.61"/>
        <n v="14.16"/>
        <n v="12.63"/>
        <n v="11.62"/>
        <n v="10.26"/>
        <n v="9.91"/>
        <n v="9.45"/>
        <n v="8.59"/>
        <n v="7.74"/>
        <n v="8.38"/>
        <n v="1.22"/>
        <n v="1.18"/>
        <n v="1.16"/>
        <n v="1.12"/>
        <n v="7.8"/>
        <n v="2.81"/>
        <n v="3.07"/>
        <n v="3.17"/>
        <n v="3.57"/>
        <n v="3.67"/>
        <n v="11.26"/>
        <n v="5.05"/>
        <n v="4.97"/>
        <n v="4.8"/>
        <n v="4.7"/>
        <n v="4.57"/>
        <n v="7.08"/>
        <n v="7.06"/>
        <n v="8.15"/>
        <n v="8.73"/>
        <n v="8.94"/>
        <n v="13.92"/>
        <n v="14.18"/>
        <n v="11.97"/>
        <n v="12.44"/>
        <n v="12.66"/>
        <n v="12.09"/>
        <n v="13.24"/>
        <n v="13.95"/>
        <n v="16.18"/>
        <n v="15.76"/>
        <n v="16.19"/>
        <n v="15.81"/>
        <n v="15.37"/>
        <n v="14.6"/>
        <n v="14.11"/>
        <n v="14.96"/>
        <n v="15.29"/>
        <n v="16.62"/>
        <n v="19.04"/>
        <n v="17.68"/>
        <n v="15.32"/>
        <n v="16.56"/>
        <n v="16.04"/>
        <n v="15.8"/>
        <n v="17.56"/>
        <n v="18.76"/>
        <n v="20.03"/>
        <n v="20.54"/>
        <n v="18.52"/>
        <n v="18.46"/>
        <n v="17.69"/>
        <n v="17.37"/>
        <n v="17.03"/>
        <n v="18.02"/>
        <n v="18.81"/>
        <n v="20.95"/>
        <n v="20.58"/>
        <n v="20.67"/>
        <n v="20.44"/>
        <n v="18.98"/>
        <n v="4.0"/>
        <n v="3.93"/>
        <n v="3.86"/>
        <n v="4.11"/>
        <n v="4.71"/>
        <n v="4.77"/>
        <n v="5.04"/>
        <n v="5.72"/>
        <n v="5.02"/>
        <n v="5.22"/>
        <n v="4.49"/>
        <n v="4.25"/>
        <n v="4.07"/>
        <n v="4.22"/>
        <n v="4.63"/>
        <n v="5.1"/>
        <n v="5.47"/>
        <n v="5.64"/>
        <n v="5.68"/>
        <n v="5.49"/>
        <n v="5.44"/>
        <n v="4.85"/>
        <n v="4.52"/>
        <n v="4.53"/>
        <n v="4.32"/>
        <n v="5.03"/>
        <n v="5.27"/>
        <n v="6.27"/>
        <n v="5.93"/>
        <n v="5.71"/>
        <n v="5.46"/>
        <n v="4.98"/>
        <n v="4.48"/>
        <n v="4.83"/>
        <n v="4.56"/>
        <n v="6.0"/>
        <n v="6.02"/>
        <n v="6.35"/>
        <n v="6.17"/>
        <n v="6.11"/>
        <n v="5.12"/>
        <n v="4.95"/>
        <n v="5.08"/>
        <n v="6.34"/>
        <n v="6.45"/>
        <n v="6.78"/>
        <n v="6.63"/>
        <n v="5.74"/>
        <n v="5.67"/>
        <n v="5.34"/>
        <n v="5.11"/>
        <n v="5.84"/>
        <n v="6.98"/>
        <n v="6.91"/>
        <n v="7.51"/>
        <n v="7.01"/>
        <n v="6.54"/>
        <n v="6.46"/>
        <n v="5.86"/>
        <n v="5.24"/>
        <n v="6.62"/>
        <n v="7.0"/>
        <n v="7.53"/>
        <n v="7.35"/>
        <n v="7.09"/>
        <n v="6.82"/>
        <n v="5.87"/>
        <n v="5.61"/>
        <n v="6.4"/>
        <n v="7.24"/>
        <n v="7.61"/>
        <n v="7.25"/>
        <n v="7.48"/>
        <n v="6.44"/>
        <n v="5.51"/>
        <n v="6.31"/>
        <n v="6.89"/>
        <n v="7.85"/>
        <n v="8.4"/>
        <n v="7.82"/>
        <n v="7.55"/>
        <n v="7.02"/>
        <n v="6.16"/>
        <n v="5.89"/>
        <n v="5.65"/>
        <n v="5.52"/>
        <n v="5.13"/>
        <n v="5.38"/>
        <n v="4.46"/>
        <n v="3.29"/>
        <n v="2.77"/>
        <n v="2.17"/>
        <n v="2.13"/>
        <n v="0.5"/>
        <n v="3.45"/>
        <n v="1.29"/>
        <n v="1.34"/>
        <n v="1.28"/>
        <n v="1.26"/>
        <n v="3.18"/>
        <n v="1.49"/>
        <n v="1.56"/>
        <n v="1.73"/>
        <n v="1.93"/>
        <n v="2.15"/>
        <n v="3.37"/>
        <n v="3.44"/>
        <n v="3.24"/>
        <n v="3.08"/>
        <n v="4.29"/>
        <n v="4.58"/>
        <n v="5.48"/>
        <n v="6.05"/>
        <n v="6.1"/>
        <n v="6.57"/>
        <n v="5.95"/>
        <n v="5.53"/>
        <n v="5.6"/>
        <n v="5.31"/>
        <n v="5.36"/>
        <n v="5.91"/>
        <n v="6.08"/>
        <n v="7.14"/>
        <n v="7.68"/>
        <n v="7.12"/>
        <n v="6.86"/>
        <n v="5.9"/>
        <n v="6.73"/>
        <n v="7.13"/>
        <n v="8.18"/>
        <n v="8.2"/>
        <n v="8.36"/>
        <n v="7.33"/>
        <n v="7.45"/>
        <n v="6.47"/>
        <n v="6.36"/>
        <n v="7.6"/>
        <n v="8.6"/>
        <n v="8.7"/>
        <n v="8.89"/>
        <n v="8.91"/>
        <n v="8.44"/>
        <n v="7.19"/>
        <n v="6.77"/>
        <n v="6.93"/>
        <n v="7.38"/>
      </sharedItems>
    </cacheField>
    <cacheField name="ASK (Billions)" numFmtId="0">
      <sharedItems containsSemiMixedTypes="0" containsString="0" containsNumber="1">
        <n v="76.45"/>
        <n v="72.13"/>
        <n v="72.79"/>
        <n v="76.8"/>
        <n v="85.85"/>
        <n v="89.95"/>
        <n v="101.28"/>
        <n v="109.0"/>
        <n v="95.62"/>
        <n v="96.05"/>
        <n v="88.97"/>
        <n v="81.5"/>
        <n v="80.2"/>
        <n v="80.44"/>
        <n v="76.73"/>
        <n v="77.83"/>
        <n v="91.57"/>
        <n v="98.63"/>
        <n v="108.75"/>
        <n v="106.33"/>
        <n v="102.78"/>
        <n v="91.6"/>
        <n v="88.59"/>
        <n v="83.79"/>
        <n v="85.61"/>
        <n v="81.21"/>
        <n v="78.89"/>
        <n v="90.51"/>
        <n v="91.08"/>
        <n v="107.27"/>
        <n v="106.68"/>
        <n v="112.29"/>
        <n v="108.02"/>
        <n v="103.55"/>
        <n v="96.77"/>
        <n v="91.5"/>
        <n v="83.31"/>
        <n v="83.35"/>
        <n v="83.67"/>
        <n v="86.1"/>
        <n v="96.52"/>
        <n v="109.46"/>
        <n v="107.12"/>
        <n v="123.9"/>
        <n v="109.96"/>
        <n v="104.95"/>
        <n v="97.88"/>
        <n v="93.42"/>
        <n v="91.93"/>
        <n v="87.24"/>
        <n v="84.44"/>
        <n v="90.65"/>
        <n v="101.97"/>
        <n v="106.0"/>
        <n v="111.71"/>
        <n v="118.0"/>
        <n v="111.85"/>
        <n v="113.7"/>
        <n v="104.25"/>
        <n v="93.87"/>
        <n v="89.61"/>
        <n v="90.05"/>
        <n v="86.02"/>
        <n v="90.92"/>
        <n v="100.99"/>
        <n v="111.03"/>
        <n v="122.72"/>
        <n v="133.27"/>
        <n v="124.36"/>
        <n v="121.5"/>
        <n v="103.46"/>
        <n v="98.0"/>
        <n v="100.52"/>
        <n v="93.88"/>
        <n v="96.49"/>
        <n v="107.62"/>
        <n v="114.42"/>
        <n v="117.07"/>
        <n v="127.75"/>
        <n v="124.27"/>
        <n v="126.59"/>
        <n v="117.06"/>
        <n v="103.78"/>
        <n v="94.85"/>
        <n v="91.1"/>
        <n v="91.22"/>
        <n v="98.99"/>
        <n v="100.19"/>
        <n v="110.73"/>
        <n v="117.91"/>
        <n v="120.27"/>
        <n v="131.66"/>
        <n v="118.36"/>
        <n v="124.89"/>
        <n v="116.48"/>
        <n v="103.11"/>
        <n v="104.29"/>
        <n v="100.09"/>
        <n v="110.22"/>
        <n v="113.37"/>
        <n v="125.62"/>
        <n v="133.52"/>
        <n v="149.17"/>
        <n v="135.55"/>
        <n v="122.69"/>
        <n v="108.04"/>
        <n v="115.66"/>
        <n v="100.16"/>
        <n v="95.65"/>
        <n v="84.73"/>
        <n v="94.81"/>
        <n v="96.45"/>
        <n v="92.93"/>
        <n v="88.42"/>
        <n v="87.37"/>
        <n v="84.29"/>
        <n v="73.68"/>
        <n v="60.11"/>
        <n v="51.59"/>
        <n v="43.69"/>
        <n v="42.85"/>
        <n v="10.79"/>
        <n v="11.51"/>
        <n v="13.0"/>
        <n v="15.06"/>
        <n v="100.24"/>
        <n v="37.45"/>
        <n v="39.19"/>
        <n v="39.09"/>
        <n v="35.76"/>
        <n v="34.07"/>
        <n v="62.8"/>
        <n v="31.82"/>
        <n v="31.41"/>
        <n v="32.93"/>
        <n v="36.56"/>
        <n v="41.54"/>
        <n v="101.55"/>
        <n v="72.08"/>
        <n v="68.13"/>
        <n v="65.59"/>
        <n v="63.47"/>
        <n v="59.46"/>
        <n v="86.98"/>
        <n v="89.16"/>
        <n v="82.41"/>
        <n v="93.4"/>
        <n v="95.41"/>
        <n v="117.37"/>
        <n v="114.95"/>
        <n v="123.24"/>
        <n v="117.38"/>
        <n v="113.81"/>
        <n v="104.4"/>
        <n v="100.58"/>
        <n v="92.03"/>
        <n v="85.77"/>
        <n v="94.7"/>
        <n v="109.72"/>
        <n v="103.52"/>
        <n v="119.22"/>
        <n v="123.03"/>
        <n v="132.09"/>
        <n v="134.52"/>
        <n v="122.46"/>
        <n v="120.28"/>
        <n v="107.48"/>
        <n v="109.07"/>
        <n v="97.32"/>
        <n v="105.45"/>
        <n v="108.97"/>
        <n v="117.97"/>
        <n v="122.1"/>
        <n v="132.67"/>
        <n v="134.26"/>
        <n v="133.37"/>
        <n v="121.07"/>
        <n v="117.26"/>
        <n v="115.43"/>
        <n v="106.56"/>
        <n v="103.77"/>
        <n v="103.84"/>
        <n v="115.0"/>
        <n v="115.11"/>
        <n v="122.98"/>
        <n v="141.8"/>
        <n v="142.69"/>
        <n v="143.33"/>
        <n v="130.89"/>
        <n v="123.57"/>
        <n v="113.69"/>
        <n v="100.66"/>
        <n v="107.88"/>
        <n v="101.29"/>
        <n v="121.43"/>
        <n v="87.29"/>
        <n v="84.07"/>
        <n v="88.48"/>
        <n v="97.36"/>
        <n v="98.75"/>
        <n v="112.87"/>
        <n v="115.81"/>
        <n v="108.47"/>
        <n v="97.73"/>
        <n v="89.3"/>
        <n v="88.84"/>
        <n v="88.61"/>
        <n v="88.38"/>
        <n v="83.86"/>
        <n v="94.76"/>
        <n v="114.77"/>
        <n v="114.61"/>
        <n v="128.93"/>
        <n v="121.8"/>
        <n v="109.97"/>
        <n v="99.7"/>
        <n v="104.03"/>
        <n v="92.95"/>
        <n v="97.13"/>
        <n v="97.54"/>
        <n v="97.37"/>
        <n v="108.46"/>
        <n v="120.12"/>
        <n v="115.94"/>
        <n v="120.95"/>
        <n v="122.93"/>
        <n v="125.25"/>
        <n v="116.17"/>
        <n v="99.95"/>
        <n v="91.81"/>
        <n v="92.2"/>
        <n v="95.47"/>
        <n v="102.82"/>
        <n v="114.26"/>
        <n v="123.04"/>
        <n v="129.72"/>
        <n v="135.46"/>
        <n v="128.19"/>
        <n v="134.76"/>
        <n v="124.13"/>
        <n v="104.13"/>
        <n v="102.51"/>
        <n v="97.75"/>
        <n v="103.43"/>
        <n v="121.47"/>
        <n v="136.21"/>
        <n v="141.41"/>
        <n v="136.37"/>
        <n v="131.0"/>
        <n v="130.81"/>
        <n v="109.01"/>
        <n v="110.71"/>
        <n v="107.99"/>
        <n v="100.74"/>
        <n v="120.38"/>
        <n v="129.13"/>
        <n v="129.32"/>
        <n v="142.7"/>
        <n v="140.31"/>
        <n v="145.32"/>
        <n v="132.08"/>
        <n v="112.32"/>
        <n v="103.51"/>
        <n v="105.46"/>
        <n v="110.1"/>
        <n v="119.5"/>
        <n v="136.19"/>
        <n v="150.2"/>
        <n v="148.19"/>
        <n v="149.64"/>
        <n v="153.3"/>
        <n v="138.38"/>
        <n v="137.06"/>
        <n v="119.38"/>
        <n v="111.41"/>
        <n v="125.93"/>
        <n v="123.5"/>
        <n v="123.08"/>
        <n v="139.46"/>
        <n v="157.02"/>
        <n v="161.49"/>
        <n v="157.44"/>
        <n v="157.64"/>
        <n v="153.11"/>
        <n v="143.72"/>
        <n v="131.33"/>
        <n v="120.57"/>
        <n v="129.86"/>
        <n v="121.64"/>
        <n v="140.32"/>
        <n v="143.46"/>
        <n v="162.08"/>
        <n v="166.97"/>
        <n v="171.99"/>
        <n v="170.76"/>
        <n v="164.21"/>
        <n v="150.38"/>
        <n v="142.27"/>
        <n v="136.95"/>
        <n v="117.32"/>
        <n v="120.46"/>
        <n v="110.91"/>
        <n v="116.11"/>
        <n v="116.86"/>
        <n v="112.88"/>
        <n v="105.38"/>
        <n v="93.74"/>
        <n v="80.79"/>
        <n v="67.52"/>
        <n v="55.21"/>
        <n v="43.62"/>
        <n v="42.58"/>
        <n v="10.53"/>
        <n v="12.28"/>
        <n v="14.38"/>
        <n v="15.16"/>
        <n v="108.25"/>
        <n v="41.5"/>
        <n v="42.81"/>
        <n v="40.22"/>
        <n v="39.55"/>
        <n v="36.58"/>
        <n v="72.12"/>
        <n v="31.68"/>
        <n v="34.68"/>
        <n v="35.01"/>
        <n v="40.83"/>
        <n v="42.88"/>
        <n v="106.12"/>
        <n v="68.53"/>
        <n v="73.61"/>
        <n v="69.43"/>
        <n v="65.89"/>
        <n v="64.65"/>
        <n v="93.14"/>
        <n v="90.5"/>
        <n v="97.25"/>
        <n v="105.96"/>
        <n v="109.12"/>
        <n v="133.41"/>
        <n v="136.5"/>
        <n v="139.39"/>
        <n v="129.95"/>
        <n v="133.08"/>
        <n v="125.1"/>
        <n v="117.19"/>
        <n v="106.35"/>
        <n v="111.33"/>
        <n v="113.41"/>
        <n v="133.9"/>
        <n v="147.12"/>
        <n v="155.79"/>
        <n v="155.56"/>
        <n v="159.35"/>
        <n v="165.46"/>
        <n v="144.43"/>
        <n v="136.81"/>
        <n v="122.52"/>
        <n v="129.62"/>
        <n v="138.23"/>
        <n v="144.32"/>
        <n v="160.53"/>
        <n v="169.76"/>
        <n v="186.0"/>
        <n v="165.75"/>
        <n v="166.27"/>
        <n v="146.36"/>
        <n v="142.62"/>
        <n v="135.36"/>
        <n v="133.21"/>
        <n v="131.18"/>
        <n v="151.76"/>
        <n v="151.98"/>
        <n v="151.65"/>
        <n v="168.53"/>
        <n v="176.36"/>
        <n v="191.1"/>
        <n v="164.47"/>
        <n v="154.9"/>
        <n v="147.54"/>
        <n v="143.52"/>
        <n v="131.59"/>
        <n v="131.48"/>
        <n v="150.23"/>
        <n v="77.93"/>
        <n v="87.31"/>
        <n v="76.74"/>
        <n v="87.47"/>
        <n v="97.45"/>
        <n v="105.12"/>
        <n v="117.03"/>
        <n v="108.14"/>
        <n v="113.96"/>
        <n v="104.21"/>
        <n v="98.32"/>
        <n v="93.66"/>
        <n v="89.81"/>
        <n v="91.91"/>
        <n v="88.71"/>
        <n v="91.28"/>
        <n v="102.35"/>
        <n v="112.77"/>
        <n v="117.79"/>
        <n v="122.33"/>
        <n v="124.4"/>
        <n v="112.25"/>
        <n v="107.45"/>
        <n v="102.88"/>
        <n v="102.33"/>
        <n v="101.66"/>
        <n v="101.45"/>
        <n v="109.82"/>
        <n v="107.49"/>
        <n v="123.89"/>
        <n v="132.55"/>
        <n v="129.67"/>
        <n v="131.19"/>
        <n v="114.31"/>
        <n v="106.38"/>
        <n v="101.99"/>
        <n v="115.45"/>
        <n v="113.03"/>
        <n v="128.41"/>
        <n v="139.67"/>
        <n v="138.57"/>
        <n v="133.59"/>
        <n v="136.08"/>
        <n v="126.32"/>
        <n v="109.45"/>
        <n v="114.21"/>
        <n v="116.09"/>
        <n v="129.47"/>
        <n v="148.2"/>
        <n v="142.52"/>
        <n v="153.82"/>
        <n v="147.6"/>
        <n v="149.05"/>
        <n v="127.39"/>
        <n v="116.13"/>
        <n v="122.02"/>
        <n v="138.47"/>
        <n v="141.71"/>
        <n v="166.78"/>
        <n v="163.86"/>
        <n v="176.35"/>
        <n v="144.09"/>
        <n v="153.62"/>
        <n v="130.45"/>
        <n v="124.91"/>
        <n v="120.22"/>
        <n v="127.72"/>
        <n v="136.67"/>
        <n v="148.69"/>
        <n v="179.57"/>
        <n v="183.25"/>
        <n v="179.19"/>
        <n v="174.9"/>
        <n v="165.68"/>
        <n v="156.74"/>
        <n v="152.95"/>
        <n v="139.34"/>
        <n v="136.38"/>
        <n v="156.53"/>
        <n v="159.94"/>
        <n v="174.87"/>
        <n v="183.78"/>
        <n v="197.74"/>
        <n v="185.22"/>
        <n v="175.69"/>
        <n v="167.32"/>
        <n v="156.67"/>
        <n v="153.74"/>
        <n v="149.33"/>
        <n v="148.85"/>
        <n v="169.2"/>
        <n v="186.25"/>
        <n v="188.94"/>
        <n v="192.01"/>
        <n v="200.57"/>
        <n v="204.9"/>
        <n v="194.65"/>
        <n v="181.84"/>
        <n v="167.14"/>
        <n v="155.03"/>
        <n v="142.44"/>
        <n v="155.42"/>
        <n v="138.1"/>
        <n v="151.49"/>
        <n v="146.53"/>
        <n v="143.92"/>
        <n v="136.69"/>
        <n v="123.56"/>
        <n v="109.42"/>
        <n v="96.19"/>
        <n v="77.96"/>
        <n v="62.54"/>
        <n v="64.51"/>
        <n v="13.71"/>
        <n v="16.3"/>
        <n v="15.93"/>
        <n v="18.58"/>
        <n v="126.98"/>
        <n v="45.3"/>
        <n v="46.29"/>
        <n v="43.8"/>
        <n v="42.13"/>
        <n v="36.21"/>
        <n v="69.48"/>
        <n v="31.13"/>
        <n v="32.22"/>
        <n v="33.4"/>
        <n v="40.59"/>
        <n v="41.89"/>
        <n v="93.7"/>
        <n v="57.61"/>
        <n v="63.77"/>
        <n v="58.05"/>
        <n v="56.84"/>
        <n v="49.49"/>
        <n v="76.02"/>
        <n v="73.33"/>
        <n v="86.04"/>
        <n v="99.0"/>
        <n v="113.07"/>
        <n v="126.21"/>
        <n v="139.78"/>
        <n v="132.71"/>
        <n v="123.36"/>
        <n v="121.06"/>
        <n v="118.11"/>
        <n v="119.26"/>
        <n v="127.32"/>
        <n v="140.19"/>
        <n v="138.59"/>
        <n v="170.78"/>
        <n v="181.88"/>
        <n v="189.69"/>
        <n v="178.57"/>
        <n v="177.37"/>
        <n v="164.89"/>
        <n v="160.3"/>
        <n v="160.06"/>
        <n v="156.49"/>
        <n v="152.52"/>
        <n v="174.38"/>
        <n v="193.34"/>
        <n v="184.66"/>
        <n v="210.84"/>
        <n v="203.83"/>
        <n v="222.82"/>
        <n v="199.23"/>
        <n v="181.79"/>
        <n v="169.23"/>
        <n v="171.92"/>
        <n v="157.94"/>
        <n v="161.03"/>
        <n v="181.49"/>
        <n v="181.23"/>
        <n v="199.7"/>
        <n v="215.57"/>
        <n v="248.76"/>
        <n v="204.03"/>
        <n v="207.92"/>
        <n v="194.44"/>
        <n v="180.78"/>
        <n v="181.93"/>
        <n v="168.91"/>
        <n v="169.48"/>
        <n v="188.63"/>
        <n v="16.85"/>
        <n v="16.16"/>
        <n v="18.3"/>
        <n v="19.0"/>
        <n v="19.79"/>
        <n v="23.42"/>
        <n v="23.05"/>
        <n v="23.35"/>
        <n v="24.27"/>
        <n v="24.07"/>
        <n v="20.74"/>
        <n v="19.61"/>
        <n v="18.55"/>
        <n v="18.01"/>
        <n v="19.78"/>
        <n v="20.76"/>
        <n v="21.73"/>
        <n v="23.4"/>
        <n v="26.99"/>
        <n v="26.48"/>
        <n v="25.51"/>
        <n v="24.54"/>
        <n v="21.7"/>
        <n v="21.21"/>
        <n v="20.49"/>
        <n v="20.79"/>
        <n v="25.1"/>
        <n v="25.71"/>
        <n v="27.62"/>
        <n v="27.55"/>
        <n v="29.42"/>
        <n v="27.13"/>
        <n v="27.82"/>
        <n v="26.72"/>
        <n v="23.07"/>
        <n v="24.86"/>
        <n v="23.91"/>
        <n v="21.92"/>
        <n v="25.63"/>
        <n v="27.37"/>
        <n v="30.33"/>
        <n v="32.61"/>
        <n v="31.77"/>
        <n v="30.54"/>
        <n v="30.56"/>
        <n v="30.14"/>
        <n v="25.95"/>
        <n v="26.51"/>
        <n v="25.68"/>
        <n v="26.68"/>
        <n v="27.63"/>
        <n v="30.79"/>
        <n v="32.74"/>
        <n v="36.78"/>
        <n v="34.42"/>
        <n v="32.67"/>
        <n v="32.38"/>
        <n v="32.02"/>
        <n v="29.22"/>
        <n v="27.93"/>
        <n v="25.79"/>
        <n v="28.31"/>
        <n v="28.53"/>
        <n v="32.53"/>
        <n v="34.16"/>
        <n v="36.39"/>
        <n v="37.99"/>
        <n v="36.89"/>
        <n v="34.24"/>
        <n v="31.16"/>
        <n v="30.1"/>
        <n v="29.16"/>
        <n v="28.18"/>
        <n v="30.05"/>
        <n v="31.61"/>
        <n v="36.6"/>
        <n v="37.73"/>
        <n v="37.95"/>
        <n v="43.37"/>
        <n v="41.37"/>
        <n v="35.27"/>
        <n v="31.24"/>
        <n v="30.26"/>
        <n v="29.54"/>
        <n v="33.77"/>
        <n v="37.38"/>
        <n v="38.17"/>
        <n v="39.48"/>
        <n v="43.31"/>
        <n v="41.76"/>
        <n v="40.6"/>
        <n v="38.73"/>
        <n v="32.68"/>
        <n v="32.98"/>
        <n v="36.74"/>
        <n v="33.13"/>
        <n v="39.52"/>
        <n v="43.47"/>
        <n v="43.33"/>
        <n v="41.45"/>
        <n v="41.93"/>
        <n v="41.64"/>
        <n v="38.89"/>
        <n v="36.27"/>
        <n v="35.14"/>
        <n v="31.25"/>
        <n v="30.67"/>
        <n v="30.48"/>
        <n v="30.95"/>
        <n v="30.37"/>
        <n v="27.9"/>
        <n v="28.36"/>
        <n v="25.76"/>
        <n v="19.93"/>
        <n v="17.58"/>
        <n v="14.01"/>
        <n v="12.03"/>
        <n v="12.22"/>
        <n v="2.99"/>
        <n v="2.92"/>
        <n v="3.71"/>
        <n v="4.12"/>
        <n v="29.03"/>
        <n v="10.47"/>
        <n v="10.34"/>
        <n v="10.63"/>
        <n v="10.0"/>
        <n v="9.35"/>
        <n v="17.47"/>
        <n v="8.32"/>
        <n v="8.01"/>
        <n v="9.56"/>
        <n v="9.46"/>
        <n v="26.38"/>
        <n v="17.41"/>
        <n v="17.97"/>
        <n v="18.74"/>
        <n v="17.22"/>
        <n v="15.45"/>
        <n v="22.35"/>
        <n v="23.21"/>
        <n v="26.01"/>
        <n v="28.21"/>
        <n v="29.09"/>
        <n v="31.51"/>
        <n v="34.06"/>
        <n v="34.88"/>
        <n v="33.08"/>
        <n v="32.84"/>
        <n v="30.76"/>
        <n v="29.91"/>
        <n v="31.28"/>
        <n v="36.47"/>
        <n v="39.13"/>
        <n v="42.74"/>
        <n v="45.62"/>
        <n v="42.09"/>
        <n v="42.39"/>
        <n v="36.52"/>
        <n v="34.71"/>
        <n v="32.63"/>
        <n v="34.64"/>
        <n v="35.84"/>
        <n v="35.72"/>
        <n v="40.23"/>
        <n v="42.72"/>
        <n v="46.09"/>
        <n v="48.41"/>
        <n v="45.42"/>
        <n v="46.51"/>
        <n v="41.29"/>
        <n v="38.52"/>
        <n v="36.4"/>
        <n v="36.93"/>
        <n v="39.51"/>
        <n v="39.71"/>
        <n v="44.4"/>
        <n v="48.37"/>
        <n v="48.69"/>
        <n v="52.5"/>
        <n v="49.99"/>
        <n v="47.72"/>
        <n v="45.47"/>
        <n v="43.39"/>
        <n v="40.09"/>
        <n v="39.74"/>
        <n v="39.39"/>
        <n v="42.96"/>
        <n v="14.21"/>
        <n v="13.89"/>
        <n v="14.39"/>
        <n v="13.51"/>
        <n v="12.51"/>
        <n v="11.97"/>
        <n v="12.98"/>
        <n v="12.55"/>
        <n v="12.87"/>
        <n v="13.68"/>
        <n v="15.37"/>
        <n v="14.72"/>
        <n v="15.5"/>
        <n v="16.24"/>
        <n v="14.53"/>
        <n v="14.32"/>
        <n v="13.1"/>
        <n v="12.34"/>
        <n v="12.23"/>
        <n v="12.44"/>
        <n v="14.51"/>
        <n v="14.2"/>
        <n v="16.02"/>
        <n v="15.83"/>
        <n v="16.97"/>
        <n v="15.75"/>
        <n v="15.72"/>
        <n v="15.31"/>
        <n v="14.94"/>
        <n v="14.09"/>
        <n v="13.11"/>
        <n v="13.83"/>
        <n v="14.75"/>
        <n v="15.7"/>
        <n v="16.76"/>
        <n v="16.81"/>
        <n v="16.93"/>
        <n v="15.49"/>
        <n v="16.09"/>
        <n v="16.05"/>
        <n v="16.01"/>
        <n v="14.63"/>
        <n v="14.52"/>
        <n v="14.61"/>
        <n v="16.17"/>
        <n v="16.4"/>
        <n v="17.88"/>
        <n v="16.49"/>
        <n v="18.33"/>
        <n v="16.95"/>
        <n v="16.57"/>
        <n v="16.34"/>
        <n v="15.1"/>
        <n v="14.41"/>
        <n v="15.94"/>
        <n v="16.6"/>
        <n v="16.53"/>
        <n v="19.46"/>
        <n v="18.16"/>
        <n v="18.14"/>
        <n v="17.09"/>
        <n v="16.39"/>
        <n v="15.97"/>
        <n v="18.12"/>
        <n v="17.44"/>
        <n v="19.02"/>
        <n v="20.62"/>
        <n v="20.58"/>
        <n v="19.55"/>
        <n v="19.13"/>
        <n v="18.28"/>
        <n v="17.43"/>
        <n v="16.25"/>
        <n v="17.82"/>
        <n v="17.07"/>
        <n v="18.08"/>
        <n v="20.07"/>
        <n v="19.06"/>
        <n v="21.19"/>
        <n v="21.11"/>
        <n v="20.63"/>
        <n v="22.24"/>
        <n v="18.73"/>
        <n v="18.29"/>
        <n v="17.03"/>
        <n v="17.89"/>
        <n v="19.23"/>
        <n v="21.07"/>
        <n v="20.27"/>
        <n v="21.93"/>
        <n v="23.58"/>
        <n v="23.52"/>
        <n v="22.56"/>
        <n v="22.58"/>
        <n v="19.83"/>
        <n v="18.62"/>
        <n v="20.4"/>
        <n v="21.24"/>
        <n v="20.6"/>
        <n v="22.71"/>
        <n v="24.63"/>
        <n v="22.81"/>
        <n v="21.65"/>
        <n v="19.62"/>
        <n v="19.29"/>
        <n v="17.59"/>
        <n v="14.31"/>
        <n v="12.58"/>
        <n v="12.61"/>
        <n v="12.26"/>
        <n v="11.4"/>
        <n v="10.59"/>
        <n v="9.31"/>
        <n v="9.99"/>
        <n v="2.21"/>
        <n v="2.15"/>
        <n v="2.12"/>
        <n v="2.03"/>
        <n v="14.18"/>
        <n v="5.11"/>
        <n v="5.58"/>
        <n v="5.77"/>
        <n v="6.5"/>
        <n v="6.68"/>
        <n v="13.43"/>
        <n v="6.08"/>
        <n v="6.16"/>
        <n v="5.85"/>
        <n v="6.0"/>
        <n v="5.56"/>
        <n v="12.59"/>
        <n v="8.87"/>
        <n v="8.68"/>
        <n v="9.54"/>
        <n v="11.05"/>
        <n v="10.84"/>
        <n v="17.3"/>
        <n v="16.21"/>
        <n v="14.82"/>
        <n v="15.56"/>
        <n v="15.46"/>
        <n v="14.67"/>
        <n v="15.96"/>
        <n v="17.0"/>
        <n v="18.48"/>
        <n v="19.85"/>
        <n v="19.75"/>
        <n v="18.99"/>
        <n v="19.2"/>
        <n v="17.9"/>
        <n v="17.24"/>
        <n v="18.25"/>
        <n v="19.37"/>
        <n v="20.35"/>
        <n v="20.67"/>
        <n v="21.31"/>
        <n v="23.74"/>
        <n v="23.53"/>
        <n v="21.45"/>
        <n v="21.95"/>
        <n v="21.52"/>
        <n v="18.37"/>
        <n v="19.95"/>
        <n v="22.01"/>
        <n v="22.82"/>
        <n v="24.34"/>
        <n v="25.05"/>
        <n v="23.28"/>
        <n v="21.14"/>
        <n v="22.3"/>
        <n v="21.86"/>
        <n v="21.36"/>
        <n v="21.44"/>
        <n v="22.32"/>
        <n v="23.09"/>
        <n v="24.37"/>
        <n v="25.06"/>
        <n v="25.19"/>
        <n v="25.39"/>
        <n v="4.66"/>
        <n v="4.63"/>
        <n v="4.68"/>
        <n v="5.04"/>
        <n v="5.73"/>
        <n v="6.07"/>
        <n v="6.75"/>
        <n v="5.91"/>
        <n v="6.62"/>
        <n v="5.59"/>
        <n v="5.66"/>
        <n v="5.47"/>
        <n v="4.83"/>
        <n v="5.21"/>
        <n v="5.52"/>
        <n v="6.09"/>
        <n v="6.55"/>
        <n v="6.86"/>
        <n v="7.14"/>
        <n v="6.74"/>
        <n v="6.41"/>
        <n v="5.95"/>
        <n v="5.54"/>
        <n v="5.44"/>
        <n v="5.25"/>
        <n v="6.34"/>
        <n v="6.56"/>
        <n v="7.05"/>
        <n v="7.57"/>
        <n v="7.16"/>
        <n v="6.97"/>
        <n v="6.77"/>
        <n v="6.12"/>
        <n v="5.84"/>
        <n v="5.93"/>
        <n v="6.46"/>
        <n v="7.24"/>
        <n v="7.18"/>
        <n v="7.58"/>
        <n v="7.5"/>
        <n v="7.48"/>
        <n v="7.02"/>
        <n v="6.04"/>
        <n v="6.36"/>
        <n v="6.15"/>
        <n v="5.74"/>
        <n v="6.05"/>
        <n v="7.06"/>
        <n v="7.62"/>
        <n v="7.73"/>
        <n v="8.53"/>
        <n v="7.82"/>
        <n v="8.03"/>
        <n v="6.92"/>
        <n v="6.79"/>
        <n v="6.32"/>
        <n v="6.01"/>
        <n v="6.78"/>
        <n v="8.49"/>
        <n v="8.36"/>
        <n v="9.4"/>
        <n v="8.72"/>
        <n v="7.99"/>
        <n v="7.55"/>
        <n v="7.19"/>
        <n v="7.22"/>
        <n v="6.8"/>
        <n v="7.93"/>
        <n v="8.06"/>
        <n v="8.89"/>
        <n v="9.01"/>
        <n v="8.82"/>
        <n v="8.76"/>
        <n v="7.85"/>
        <n v="7.1"/>
        <n v="7.86"/>
        <n v="8.67"/>
        <n v="9.61"/>
        <n v="9.32"/>
        <n v="9.07"/>
        <n v="8.17"/>
        <n v="8.0"/>
        <n v="7.07"/>
        <n v="6.49"/>
        <n v="6.89"/>
        <n v="7.44"/>
        <n v="8.23"/>
        <n v="9.04"/>
        <n v="9.63"/>
        <n v="9.53"/>
        <n v="9.3"/>
        <n v="8.6"/>
        <n v="7.51"/>
        <n v="6.81"/>
        <n v="6.65"/>
        <n v="6.47"/>
        <n v="7.3"/>
        <n v="6.96"/>
        <n v="6.66"/>
        <n v="6.22"/>
        <n v="4.94"/>
        <n v="3.77"/>
        <n v="3.32"/>
        <n v="2.78"/>
        <n v="2.52"/>
        <n v="0.91"/>
        <n v="6.27"/>
        <n v="2.35"/>
        <n v="2.44"/>
        <n v="2.33"/>
        <n v="2.3"/>
        <n v="3.81"/>
        <n v="1.8"/>
        <n v="1.9"/>
        <n v="2.06"/>
        <n v="2.36"/>
        <n v="2.61"/>
        <n v="6.1"/>
        <n v="4.19"/>
        <n v="3.92"/>
        <n v="3.94"/>
        <n v="3.79"/>
        <n v="3.82"/>
        <n v="5.37"/>
        <n v="5.23"/>
        <n v="6.11"/>
        <n v="7.43"/>
        <n v="7.47"/>
        <n v="6.82"/>
        <n v="6.39"/>
        <n v="6.48"/>
        <n v="7.29"/>
        <n v="7.34"/>
        <n v="8.33"/>
        <n v="8.91"/>
        <n v="9.38"/>
        <n v="8.57"/>
        <n v="8.31"/>
        <n v="7.13"/>
        <n v="7.28"/>
        <n v="7.95"/>
        <n v="8.52"/>
        <n v="9.06"/>
        <n v="8.97"/>
        <n v="10.05"/>
        <n v="9.96"/>
        <n v="9.12"/>
        <n v="9.11"/>
        <n v="8.46"/>
        <n v="7.88"/>
        <n v="9.05"/>
        <n v="10.5"/>
        <n v="10.7"/>
        <n v="10.62"/>
        <n v="10.81"/>
        <n v="10.22"/>
        <n v="8.48"/>
        <n v="8.44"/>
        <n v="8.74"/>
        <n v="8.94"/>
      </sharedItems>
    </cacheField>
    <cacheField name="Load Factor (RPK/ASK)" numFmtId="0">
      <sharedItems containsSemiMixedTypes="0" containsString="0" containsNumber="1">
        <n v="80.8"/>
        <n v="81.3"/>
        <n v="82.6"/>
        <n v="83.4"/>
        <n v="80.9"/>
        <n v="84.7"/>
        <n v="81.6"/>
        <n v="77.8"/>
        <n v="86.0"/>
        <n v="82.1"/>
        <n v="83.8"/>
        <n v="78.6"/>
        <n v="80.6"/>
        <n v="81.4"/>
        <n v="79.5"/>
        <n v="81.5"/>
        <n v="81.2"/>
        <n v="84.4"/>
        <n v="77.7"/>
        <n v="83.1"/>
        <n v="84.0"/>
        <n v="83.5"/>
        <n v="80.1"/>
        <n v="82.5"/>
        <n v="78.4"/>
        <n v="78.9"/>
        <n v="79.2"/>
        <n v="80.5"/>
        <n v="83.6"/>
        <n v="80.4"/>
        <n v="79.7"/>
        <n v="82.7"/>
        <n v="79.1"/>
        <n v="77.6"/>
        <n v="81.8"/>
        <n v="77.3"/>
        <n v="80.0"/>
        <n v="81.7"/>
        <n v="82.8"/>
        <n v="85.2"/>
        <n v="81.9"/>
        <n v="84.5"/>
        <n v="83.0"/>
        <n v="87.8"/>
        <n v="83.2"/>
        <n v="82.4"/>
        <n v="79.6"/>
        <n v="82.3"/>
        <n v="78.5"/>
        <n v="82.0"/>
        <n v="77.2"/>
        <n v="79.0"/>
        <n v="81.0"/>
        <n v="86.8"/>
        <n v="80.7"/>
        <n v="81.1"/>
        <n v="83.3"/>
        <n v="84.1"/>
        <n v="84.3"/>
        <n v="55.0"/>
        <n v="85.4"/>
        <n v="79.9"/>
        <n v="80.2"/>
        <n v="79.4"/>
        <n v="84.2"/>
        <n v="79.3"/>
        <n v="79.8"/>
        <n v="77.1"/>
        <n v="78.7"/>
        <n v="78.3"/>
        <n v="82.2"/>
        <n v="78.1"/>
        <n v="83.7"/>
        <n v="85.0"/>
        <n v="84.8"/>
        <n v="84.9"/>
        <n v="78.0"/>
        <n v="78.2"/>
        <n v="80.3"/>
        <n v="82.9"/>
        <n v="84.6"/>
        <n v="85.8"/>
        <n v="83.9"/>
        <n v="86.4"/>
        <n v="87.6"/>
        <n v="86.2"/>
        <n v="78.8"/>
        <n v="87.1"/>
        <n v="76.5"/>
        <n v="85.9"/>
        <n v="86.5"/>
        <n v="87.5"/>
        <n v="77.9"/>
        <n v="85.1"/>
        <n v="85.6"/>
        <n v="85.3"/>
        <n v="85.7"/>
        <n v="85.5"/>
        <n v="86.9"/>
        <n v="86.1"/>
        <n v="86.7"/>
        <n v="87.3"/>
        <n v="87.7"/>
      </sharedItems>
    </cacheField>
    <cacheField name="MONTH - YEAR Text" numFmtId="0">
      <sharedItems>
        <s v="January 2010"/>
        <s v="February 2010"/>
        <s v="March 2010"/>
        <s v="April 2010"/>
        <s v="May 2010"/>
        <s v="June 2010"/>
        <s v="July 2010"/>
        <s v="August 2010"/>
        <s v="September 2010"/>
        <s v="October 2010"/>
        <s v="November 2010"/>
        <s v="December 2010"/>
        <s v="January 2011"/>
        <s v="February 2011"/>
        <s v="March 2011"/>
        <s v="April 2011"/>
        <s v="May 2011"/>
        <s v="June 2011"/>
        <s v="July 2011"/>
        <s v="August 2011"/>
        <s v="September 2011"/>
        <s v="October 2011"/>
        <s v="November 2011"/>
        <s v="December 2011"/>
        <s v="January 2012"/>
        <s v="February 2012"/>
        <s v="March 2012"/>
        <s v="April 2012"/>
        <s v="May 2012"/>
        <s v="June 2012"/>
        <s v="July 2012"/>
        <s v="August 2012"/>
        <s v="September 2012"/>
        <s v="October 2012"/>
        <s v="November 2012"/>
        <s v="December 2012"/>
        <s v="January 2013"/>
        <s v="February 2013"/>
        <s v="March 2013"/>
        <s v="April 2013"/>
        <s v="May 2013"/>
        <s v="June 2013"/>
        <s v="July 2013"/>
        <s v="August 2013"/>
        <s v="September 2013"/>
        <s v="October 2013"/>
        <s v="November 2013"/>
        <s v="December 2013"/>
        <s v="January 2014"/>
        <s v="February 2014"/>
        <s v="March 2014"/>
        <s v="April 2014"/>
        <s v="May 2014"/>
        <s v="June 2014"/>
        <s v="July 2014"/>
        <s v="August 2014"/>
        <s v="September 2014"/>
        <s v="October 2014"/>
        <s v="November 2014"/>
        <s v="December 2014"/>
        <s v="January 2015"/>
        <s v="February 2015"/>
        <s v="March 2015"/>
        <s v="April 2015"/>
        <s v="May 2015"/>
        <s v="June 2015"/>
        <s v="July 2015"/>
        <s v="August 2015"/>
        <s v="September 2015"/>
        <s v="October 2015"/>
        <s v="November 2015"/>
        <s v="December 2015"/>
        <s v="January 2016"/>
        <s v="February 2016"/>
        <s v="March 2016"/>
        <s v="April 2016"/>
        <s v="May 2016"/>
        <s v="June 2016"/>
        <s v="July 2016"/>
        <s v="August 2016"/>
        <s v="September 2016"/>
        <s v="October 2016"/>
        <s v="November 2016"/>
        <s v="December 2016"/>
        <s v="January 2017"/>
        <s v="February 2017"/>
        <s v="March 2017"/>
        <s v="April 2017"/>
        <s v="May 2017"/>
        <s v="June 2017"/>
        <s v="July 2017"/>
        <s v="August 2017"/>
        <s v="September 2017"/>
        <s v="October 2017"/>
        <s v="November 2017"/>
        <s v="December 2017"/>
        <s v="January 2018"/>
        <s v="February 2018"/>
        <s v="March 2018"/>
        <s v="April 2018"/>
        <s v="May 2018"/>
        <s v="June 2018"/>
        <s v="July 2018"/>
        <s v="August 2018"/>
        <s v="September 2018"/>
        <s v="October 2018"/>
        <s v="November 2018"/>
        <s v="December 2018"/>
        <s v="January 2019"/>
        <s v="February 2019"/>
        <s v="March 2019"/>
        <s v="April 2019"/>
        <s v="May 2019"/>
        <s v="June 2019"/>
        <s v="July 2019"/>
        <s v="August 2019"/>
        <s v="September 2019"/>
        <s v="October 2019"/>
        <s v="November 2019"/>
        <s v="December 2019"/>
        <s v="January 2020"/>
        <s v="February 2020"/>
        <s v="March 2020"/>
        <s v="April 2020"/>
        <s v="May 2020"/>
        <s v="June 2020"/>
        <s v="July 2020"/>
        <s v="August 2020"/>
        <s v="September 2020"/>
        <s v="October 2020"/>
        <s v="November 2020"/>
        <s v="December 2020"/>
        <s v="January 2021"/>
        <s v="February 2021"/>
        <s v="March 2021"/>
        <s v="April 2021"/>
        <s v="May 2021"/>
        <s v="June 2021"/>
        <s v="July 2021"/>
        <s v="August 2021"/>
        <s v="September 2021"/>
        <s v="October 2021"/>
        <s v="November 2021"/>
        <s v="December 2021"/>
        <s v="January 2022"/>
        <s v="February 2022"/>
        <s v="March 2022"/>
        <s v="April 2022"/>
        <s v="May 2022"/>
        <s v="June 2022"/>
        <s v="July 2022"/>
        <s v="August 2022"/>
        <s v="September 2022"/>
        <s v="October 2022"/>
        <s v="November 2022"/>
        <s v="December 2022"/>
        <s v="January 2023"/>
        <s v="February 2023"/>
        <s v="March 2023"/>
        <s v="April 2023"/>
        <s v="May 2023"/>
        <s v="June 2023"/>
        <s v="July 2023"/>
        <s v="August 2023"/>
        <s v="September 2023"/>
        <s v="October 2023"/>
        <s v="November 2023"/>
        <s v="December 2023"/>
        <s v="January 2024"/>
        <s v="February 2024"/>
        <s v="March 2024"/>
        <s v="April 2024"/>
        <s v="May 2024"/>
        <s v="June 2024"/>
        <s v="July 2024"/>
        <s v="August 2024"/>
        <s v="September 2024"/>
        <s v="October 2024"/>
        <s v="November 2024"/>
        <s v="December 2024"/>
        <s v="January 2025"/>
        <s v="February 2025"/>
        <s v="March 2025"/>
        <s v="April 2025"/>
        <s v="May 2025"/>
        <s v="June 2025"/>
        <s v="July 2025"/>
        <s v="August 2025"/>
        <s v="September 2025"/>
        <s v="October 2025"/>
        <s v="November 2025"/>
        <s v="December 2025"/>
        <s v="January 2026"/>
        <s v="February 2026"/>
        <s v="March 2026"/>
        <s v="April 2026"/>
      </sharedItems>
    </cacheField>
    <cacheField name="DATE" numFmtId="14">
      <sharedItems containsSemiMixedTypes="0" containsDate="1" containsString="0">
        <d v="2010-01-01T00:00:00Z"/>
        <d v="2010-02-01T00:00:00Z"/>
        <d v="2010-03-01T00:00:00Z"/>
        <d v="2010-04-01T00:00:00Z"/>
        <d v="2010-05-01T00:00:00Z"/>
        <d v="2010-06-01T00:00:00Z"/>
        <d v="2010-07-01T00:00:00Z"/>
        <d v="2010-08-01T00:00:00Z"/>
        <d v="2010-09-01T00:00:00Z"/>
        <d v="2010-10-01T00:00:00Z"/>
        <d v="2010-11-01T00:00:00Z"/>
        <d v="2010-12-01T00:00:00Z"/>
        <d v="2011-01-01T00:00:00Z"/>
        <d v="2011-02-01T00:00:00Z"/>
        <d v="2011-03-01T00:00:00Z"/>
        <d v="2011-04-01T00:00:00Z"/>
        <d v="2011-05-01T00:00:00Z"/>
        <d v="2011-06-01T00:00:00Z"/>
        <d v="2011-07-01T00:00:00Z"/>
        <d v="2011-08-01T00:00:00Z"/>
        <d v="2011-09-01T00:00:00Z"/>
        <d v="2011-10-01T00:00:00Z"/>
        <d v="2011-11-01T00:00:00Z"/>
        <d v="2011-12-01T00:00:00Z"/>
        <d v="2012-01-01T00:00:00Z"/>
        <d v="2012-02-01T00:00:00Z"/>
        <d v="2012-03-01T00:00:00Z"/>
        <d v="2012-04-01T00:00:00Z"/>
        <d v="2012-05-01T00:00:00Z"/>
        <d v="2012-06-01T00:00:00Z"/>
        <d v="2012-07-01T00:00:00Z"/>
        <d v="2012-08-01T00:00:00Z"/>
        <d v="2012-09-01T00:00:00Z"/>
        <d v="2012-10-01T00:00:00Z"/>
        <d v="2012-11-01T00:00:00Z"/>
        <d v="2012-12-01T00:00:00Z"/>
        <d v="2013-01-01T00:00:00Z"/>
        <d v="2013-02-01T00:00:00Z"/>
        <d v="2013-03-01T00:00:00Z"/>
        <d v="2013-04-01T00:00:00Z"/>
        <d v="2013-05-01T00:00:00Z"/>
        <d v="2013-06-01T00:00:00Z"/>
        <d v="2013-07-01T00:00:00Z"/>
        <d v="2013-08-01T00:00:00Z"/>
        <d v="2013-09-01T00:00:00Z"/>
        <d v="2013-10-01T00:00:00Z"/>
        <d v="2013-11-01T00:00:00Z"/>
        <d v="2013-12-01T00:00:00Z"/>
        <d v="2014-01-01T00:00:00Z"/>
        <d v="2014-02-01T00:00:00Z"/>
        <d v="2014-03-01T00:00:00Z"/>
        <d v="2014-04-01T00:00:00Z"/>
        <d v="2014-05-01T00:00:00Z"/>
        <d v="2014-06-01T00:00:00Z"/>
        <d v="2014-07-01T00:00:00Z"/>
        <d v="2014-08-01T00:00:00Z"/>
        <d v="2014-09-01T00:00:00Z"/>
        <d v="2014-10-01T00:00:00Z"/>
        <d v="2014-11-01T00:00:00Z"/>
        <d v="2014-12-01T00:00:00Z"/>
        <d v="2015-01-01T00:00:00Z"/>
        <d v="2015-02-01T00:00:00Z"/>
        <d v="2015-03-01T00:00:00Z"/>
        <d v="2015-04-01T00:00:00Z"/>
        <d v="2015-05-01T00:00:00Z"/>
        <d v="2015-06-01T00:00:00Z"/>
        <d v="2015-07-01T00:00:00Z"/>
        <d v="2015-08-01T00:00:00Z"/>
        <d v="2015-09-01T00:00:00Z"/>
        <d v="2015-10-01T00:00:00Z"/>
        <d v="2015-11-01T00:00:00Z"/>
        <d v="2015-12-01T00:00:00Z"/>
        <d v="2016-01-01T00:00:00Z"/>
        <d v="2016-02-01T00:00:00Z"/>
        <d v="2016-03-01T00:00:00Z"/>
        <d v="2016-04-01T00:00:00Z"/>
        <d v="2016-05-01T00:00:00Z"/>
        <d v="2016-06-01T00:00:00Z"/>
        <d v="2016-07-01T00:00:00Z"/>
        <d v="2016-08-01T00:00:00Z"/>
        <d v="2016-09-01T00:00:00Z"/>
        <d v="2016-10-01T00:00:00Z"/>
        <d v="2016-11-01T00:00:00Z"/>
        <d v="2016-12-01T00:00:00Z"/>
        <d v="2017-01-01T00:00:00Z"/>
        <d v="2017-02-01T00:00:00Z"/>
        <d v="2017-03-01T00:00:00Z"/>
        <d v="2017-04-01T00:00:00Z"/>
        <d v="2017-05-01T00:00:00Z"/>
        <d v="2017-06-01T00:00:00Z"/>
        <d v="2017-07-01T00:00:00Z"/>
        <d v="2017-08-01T00:00:00Z"/>
        <d v="2017-09-01T00:00:00Z"/>
        <d v="2017-10-01T00:00:00Z"/>
        <d v="2017-11-01T00:00:00Z"/>
        <d v="2017-12-01T00:00:00Z"/>
        <d v="2018-01-01T00:00:00Z"/>
        <d v="2018-02-01T00:00:00Z"/>
        <d v="2018-03-01T00:00:00Z"/>
        <d v="2018-04-01T00:00:00Z"/>
        <d v="2018-05-01T00:00:00Z"/>
        <d v="2018-06-01T00:00:00Z"/>
        <d v="2018-07-01T00:00:00Z"/>
        <d v="2018-08-01T00:00:00Z"/>
        <d v="2018-09-01T00:00:00Z"/>
        <d v="2018-10-01T00:00:00Z"/>
        <d v="2018-11-01T00:00:00Z"/>
        <d v="2018-12-01T00:00:00Z"/>
        <d v="2019-01-01T00:00:00Z"/>
        <d v="2019-02-01T00:00:00Z"/>
        <d v="2019-03-01T00:00:00Z"/>
        <d v="2019-04-01T00:00:00Z"/>
        <d v="2019-05-01T00:00:00Z"/>
        <d v="2019-06-01T00:00:00Z"/>
        <d v="2019-07-01T00:00:00Z"/>
        <d v="2019-08-01T00:00:00Z"/>
        <d v="2019-09-01T00:00:00Z"/>
        <d v="2019-10-01T00:00:00Z"/>
        <d v="2019-11-01T00:00:00Z"/>
        <d v="2019-12-01T00:00:00Z"/>
        <d v="2020-01-01T00:00:00Z"/>
        <d v="2020-02-01T00:00:00Z"/>
        <d v="2020-03-01T00:00:00Z"/>
        <d v="2020-04-01T00:00:00Z"/>
        <d v="2020-05-01T00:00:00Z"/>
        <d v="2020-06-01T00:00:00Z"/>
        <d v="2020-07-01T00:00:00Z"/>
        <d v="2020-08-01T00:00:00Z"/>
        <d v="2020-09-01T00:00:00Z"/>
        <d v="2020-10-01T00:00:00Z"/>
        <d v="2020-11-01T00:00:00Z"/>
        <d v="2020-12-01T00:00:00Z"/>
        <d v="2021-01-01T00:00:00Z"/>
        <d v="2021-02-01T00:00:00Z"/>
        <d v="2021-03-01T00:00:00Z"/>
        <d v="2021-04-01T00:00:00Z"/>
        <d v="2021-05-01T00:00:00Z"/>
        <d v="2021-06-01T00:00:00Z"/>
        <d v="2021-07-01T00:00:00Z"/>
        <d v="2021-08-01T00:00:00Z"/>
        <d v="2021-09-01T00:00:00Z"/>
        <d v="2021-10-01T00:00:00Z"/>
        <d v="2021-11-01T00:00:00Z"/>
        <d v="2021-12-01T00:00:00Z"/>
        <d v="2022-01-01T00:00:00Z"/>
        <d v="2022-02-01T00:00:00Z"/>
        <d v="2022-03-01T00:00:00Z"/>
        <d v="2022-04-01T00:00:00Z"/>
        <d v="2022-05-01T00:00:00Z"/>
        <d v="2022-06-01T00:00:00Z"/>
        <d v="2022-07-01T00:00:00Z"/>
        <d v="2022-08-01T00:00:00Z"/>
        <d v="2022-09-01T00:00:00Z"/>
        <d v="2022-10-01T00:00:00Z"/>
        <d v="2022-11-01T00:00:00Z"/>
        <d v="2022-12-01T00:00:00Z"/>
        <d v="2023-01-01T00:00:00Z"/>
        <d v="2023-02-01T00:00:00Z"/>
        <d v="2023-03-01T00:00:00Z"/>
        <d v="2023-04-01T00:00:00Z"/>
        <d v="2023-05-01T00:00:00Z"/>
        <d v="2023-06-01T00:00:00Z"/>
        <d v="2023-07-01T00:00:00Z"/>
        <d v="2023-08-01T00:00:00Z"/>
        <d v="2023-09-01T00:00:00Z"/>
        <d v="2023-10-01T00:00:00Z"/>
        <d v="2023-11-01T00:00:00Z"/>
        <d v="2023-12-01T00:00:00Z"/>
        <d v="2024-01-01T00:00:00Z"/>
        <d v="2024-02-01T00:00:00Z"/>
        <d v="2024-03-01T00:00:00Z"/>
        <d v="2024-04-01T00:00:00Z"/>
        <d v="2024-05-01T00:00:00Z"/>
        <d v="2024-06-01T00:00:00Z"/>
        <d v="2024-07-01T00:00:00Z"/>
        <d v="2024-08-01T00:00:00Z"/>
        <d v="2024-09-01T00:00:00Z"/>
        <d v="2024-10-01T00:00:00Z"/>
        <d v="2024-11-01T00:00:00Z"/>
        <d v="2024-12-01T00:00:00Z"/>
        <d v="2025-01-01T00:00:00Z"/>
        <d v="2025-02-01T00:00:00Z"/>
        <d v="2025-03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0" dataCaption="" compact="0" compactData="0">
  <location ref="A1:S9" firstHeaderRow="0" firstDataRow="1" firstDataCol="1"/>
  <pivotFields>
    <pivotField name="year_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year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Row" compact="0" outline="0" multipleItemSelectionAllowed="1" showAll="0" sortType="ascending">
      <items>
        <item x="5"/>
        <item x="2"/>
        <item x="1"/>
        <item x="4"/>
        <item x="3"/>
        <item x="0"/>
        <item t="default"/>
      </items>
    </pivotField>
    <pivotField name="RPK (Billions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t="default"/>
      </items>
    </pivotField>
    <pivotField name="ASK (Billion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t="default"/>
      </items>
    </pivotField>
    <pivotField name="Load Factor (RPK/AS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MONTH - YEAR 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</pivotFields>
  <rowFields>
    <field x="3"/>
  </rowFields>
  <colFields>
    <field x="1"/>
  </colFields>
  <dataFields>
    <dataField name="SUM of RPK (Billions)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4.75"/>
    <col customWidth="1" min="3" max="3" width="6.13"/>
    <col customWidth="1" min="4" max="4" width="11.63"/>
    <col customWidth="1" min="5" max="5" width="10.38"/>
    <col customWidth="1" min="6" max="6" width="10.5"/>
    <col customWidth="1" min="7" max="7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40179.0</v>
      </c>
      <c r="B2" s="3">
        <v>2010.0</v>
      </c>
      <c r="C2" s="3">
        <v>1.0</v>
      </c>
      <c r="D2" s="3" t="s">
        <v>7</v>
      </c>
      <c r="E2" s="3">
        <v>61.73</v>
      </c>
      <c r="F2" s="3">
        <v>76.45</v>
      </c>
      <c r="G2" s="3">
        <v>80.8</v>
      </c>
    </row>
    <row r="3">
      <c r="A3" s="2">
        <v>40210.0</v>
      </c>
      <c r="B3" s="3">
        <v>2010.0</v>
      </c>
      <c r="C3" s="3">
        <v>2.0</v>
      </c>
      <c r="D3" s="3" t="s">
        <v>7</v>
      </c>
      <c r="E3" s="3">
        <v>58.63</v>
      </c>
      <c r="F3" s="3">
        <v>72.13</v>
      </c>
      <c r="G3" s="3">
        <v>81.3</v>
      </c>
    </row>
    <row r="4">
      <c r="A4" s="2">
        <v>40238.0</v>
      </c>
      <c r="B4" s="3">
        <v>2010.0</v>
      </c>
      <c r="C4" s="3">
        <v>3.0</v>
      </c>
      <c r="D4" s="3" t="s">
        <v>7</v>
      </c>
      <c r="E4" s="3">
        <v>60.16</v>
      </c>
      <c r="F4" s="3">
        <v>72.79</v>
      </c>
      <c r="G4" s="3">
        <v>82.6</v>
      </c>
    </row>
    <row r="5">
      <c r="A5" s="2">
        <v>40269.0</v>
      </c>
      <c r="B5" s="3">
        <v>2010.0</v>
      </c>
      <c r="C5" s="3">
        <v>4.0</v>
      </c>
      <c r="D5" s="3" t="s">
        <v>7</v>
      </c>
      <c r="E5" s="3">
        <v>64.07</v>
      </c>
      <c r="F5" s="3">
        <v>76.8</v>
      </c>
      <c r="G5" s="3">
        <v>83.4</v>
      </c>
    </row>
    <row r="6">
      <c r="A6" s="2">
        <v>40299.0</v>
      </c>
      <c r="B6" s="3">
        <v>2010.0</v>
      </c>
      <c r="C6" s="3">
        <v>5.0</v>
      </c>
      <c r="D6" s="3" t="s">
        <v>7</v>
      </c>
      <c r="E6" s="3">
        <v>69.43</v>
      </c>
      <c r="F6" s="3">
        <v>85.85</v>
      </c>
      <c r="G6" s="3">
        <v>80.9</v>
      </c>
    </row>
    <row r="7">
      <c r="A7" s="2">
        <v>40330.0</v>
      </c>
      <c r="B7" s="3">
        <v>2010.0</v>
      </c>
      <c r="C7" s="3">
        <v>6.0</v>
      </c>
      <c r="D7" s="3" t="s">
        <v>7</v>
      </c>
      <c r="E7" s="3">
        <v>76.14</v>
      </c>
      <c r="F7" s="3">
        <v>89.95</v>
      </c>
      <c r="G7" s="3">
        <v>84.7</v>
      </c>
    </row>
    <row r="8">
      <c r="A8" s="2">
        <v>40360.0</v>
      </c>
      <c r="B8" s="3">
        <v>2010.0</v>
      </c>
      <c r="C8" s="3">
        <v>7.0</v>
      </c>
      <c r="D8" s="3" t="s">
        <v>7</v>
      </c>
      <c r="E8" s="3">
        <v>82.62</v>
      </c>
      <c r="F8" s="3">
        <v>101.28</v>
      </c>
      <c r="G8" s="3">
        <v>81.6</v>
      </c>
    </row>
    <row r="9">
      <c r="A9" s="2">
        <v>40391.0</v>
      </c>
      <c r="B9" s="3">
        <v>2010.0</v>
      </c>
      <c r="C9" s="3">
        <v>8.0</v>
      </c>
      <c r="D9" s="3" t="s">
        <v>7</v>
      </c>
      <c r="E9" s="3">
        <v>84.79</v>
      </c>
      <c r="F9" s="3">
        <v>109.0</v>
      </c>
      <c r="G9" s="3">
        <v>77.8</v>
      </c>
    </row>
    <row r="10">
      <c r="A10" s="2">
        <v>40422.0</v>
      </c>
      <c r="B10" s="3">
        <v>2010.0</v>
      </c>
      <c r="C10" s="3">
        <v>9.0</v>
      </c>
      <c r="D10" s="3" t="s">
        <v>7</v>
      </c>
      <c r="E10" s="3">
        <v>82.23</v>
      </c>
      <c r="F10" s="3">
        <v>95.62</v>
      </c>
      <c r="G10" s="3">
        <v>86.0</v>
      </c>
    </row>
    <row r="11">
      <c r="A11" s="4">
        <v>40452.0</v>
      </c>
      <c r="B11" s="3">
        <v>2010.0</v>
      </c>
      <c r="C11" s="3">
        <v>10.0</v>
      </c>
      <c r="D11" s="3" t="s">
        <v>7</v>
      </c>
      <c r="E11" s="3">
        <v>78.9</v>
      </c>
      <c r="F11" s="3">
        <v>96.05</v>
      </c>
      <c r="G11" s="3">
        <v>82.1</v>
      </c>
    </row>
    <row r="12">
      <c r="A12" s="4">
        <v>40483.0</v>
      </c>
      <c r="B12" s="3">
        <v>2010.0</v>
      </c>
      <c r="C12" s="3">
        <v>11.0</v>
      </c>
      <c r="D12" s="3" t="s">
        <v>7</v>
      </c>
      <c r="E12" s="3">
        <v>74.55</v>
      </c>
      <c r="F12" s="3">
        <v>88.97</v>
      </c>
      <c r="G12" s="3">
        <v>83.8</v>
      </c>
    </row>
    <row r="13">
      <c r="A13" s="4">
        <v>40513.0</v>
      </c>
      <c r="B13" s="3">
        <v>2010.0</v>
      </c>
      <c r="C13" s="3">
        <v>12.0</v>
      </c>
      <c r="D13" s="3" t="s">
        <v>7</v>
      </c>
      <c r="E13" s="3">
        <v>64.09</v>
      </c>
      <c r="F13" s="3">
        <v>81.5</v>
      </c>
      <c r="G13" s="3">
        <v>78.6</v>
      </c>
    </row>
    <row r="14">
      <c r="A14" s="2">
        <v>40544.0</v>
      </c>
      <c r="B14" s="3">
        <v>2011.0</v>
      </c>
      <c r="C14" s="3">
        <v>1.0</v>
      </c>
      <c r="D14" s="3" t="s">
        <v>7</v>
      </c>
      <c r="E14" s="3">
        <v>64.62</v>
      </c>
      <c r="F14" s="3">
        <v>80.2</v>
      </c>
      <c r="G14" s="3">
        <v>80.6</v>
      </c>
    </row>
    <row r="15">
      <c r="A15" s="2">
        <v>40575.0</v>
      </c>
      <c r="B15" s="3">
        <v>2011.0</v>
      </c>
      <c r="C15" s="3">
        <v>2.0</v>
      </c>
      <c r="D15" s="3" t="s">
        <v>7</v>
      </c>
      <c r="E15" s="3">
        <v>65.45</v>
      </c>
      <c r="F15" s="3">
        <v>80.44</v>
      </c>
      <c r="G15" s="3">
        <v>81.4</v>
      </c>
    </row>
    <row r="16">
      <c r="A16" s="2">
        <v>40603.0</v>
      </c>
      <c r="B16" s="3">
        <v>2011.0</v>
      </c>
      <c r="C16" s="3">
        <v>3.0</v>
      </c>
      <c r="D16" s="3" t="s">
        <v>7</v>
      </c>
      <c r="E16" s="3">
        <v>60.98</v>
      </c>
      <c r="F16" s="3">
        <v>76.73</v>
      </c>
      <c r="G16" s="3">
        <v>79.5</v>
      </c>
    </row>
    <row r="17">
      <c r="A17" s="2">
        <v>40634.0</v>
      </c>
      <c r="B17" s="3">
        <v>2011.0</v>
      </c>
      <c r="C17" s="3">
        <v>4.0</v>
      </c>
      <c r="D17" s="3" t="s">
        <v>7</v>
      </c>
      <c r="E17" s="3">
        <v>63.46</v>
      </c>
      <c r="F17" s="3">
        <v>77.83</v>
      </c>
      <c r="G17" s="3">
        <v>81.5</v>
      </c>
    </row>
    <row r="18">
      <c r="A18" s="2">
        <v>40664.0</v>
      </c>
      <c r="B18" s="3">
        <v>2011.0</v>
      </c>
      <c r="C18" s="3">
        <v>5.0</v>
      </c>
      <c r="D18" s="3" t="s">
        <v>7</v>
      </c>
      <c r="E18" s="3">
        <v>74.31</v>
      </c>
      <c r="F18" s="3">
        <v>91.57</v>
      </c>
      <c r="G18" s="3">
        <v>81.2</v>
      </c>
    </row>
    <row r="19">
      <c r="A19" s="2">
        <v>40695.0</v>
      </c>
      <c r="B19" s="3">
        <v>2011.0</v>
      </c>
      <c r="C19" s="3">
        <v>6.0</v>
      </c>
      <c r="D19" s="3" t="s">
        <v>7</v>
      </c>
      <c r="E19" s="3">
        <v>83.24</v>
      </c>
      <c r="F19" s="3">
        <v>98.63</v>
      </c>
      <c r="G19" s="3">
        <v>84.4</v>
      </c>
    </row>
    <row r="20">
      <c r="A20" s="2">
        <v>40725.0</v>
      </c>
      <c r="B20" s="3">
        <v>2011.0</v>
      </c>
      <c r="C20" s="3">
        <v>7.0</v>
      </c>
      <c r="D20" s="3" t="s">
        <v>7</v>
      </c>
      <c r="E20" s="3">
        <v>84.54</v>
      </c>
      <c r="F20" s="3">
        <v>108.75</v>
      </c>
      <c r="G20" s="3">
        <v>77.7</v>
      </c>
    </row>
    <row r="21">
      <c r="A21" s="2">
        <v>40756.0</v>
      </c>
      <c r="B21" s="3">
        <v>2011.0</v>
      </c>
      <c r="C21" s="3">
        <v>8.0</v>
      </c>
      <c r="D21" s="3" t="s">
        <v>7</v>
      </c>
      <c r="E21" s="3">
        <v>88.37</v>
      </c>
      <c r="F21" s="3">
        <v>106.33</v>
      </c>
      <c r="G21" s="3">
        <v>83.1</v>
      </c>
    </row>
    <row r="22">
      <c r="A22" s="2">
        <v>40787.0</v>
      </c>
      <c r="B22" s="3">
        <v>2011.0</v>
      </c>
      <c r="C22" s="3">
        <v>9.0</v>
      </c>
      <c r="D22" s="3" t="s">
        <v>7</v>
      </c>
      <c r="E22" s="3">
        <v>86.29</v>
      </c>
      <c r="F22" s="3">
        <v>102.78</v>
      </c>
      <c r="G22" s="3">
        <v>84.0</v>
      </c>
    </row>
    <row r="23">
      <c r="A23" s="4">
        <v>40817.0</v>
      </c>
      <c r="B23" s="3">
        <v>2011.0</v>
      </c>
      <c r="C23" s="3">
        <v>10.0</v>
      </c>
      <c r="D23" s="3" t="s">
        <v>7</v>
      </c>
      <c r="E23" s="3">
        <v>78.79</v>
      </c>
      <c r="F23" s="3">
        <v>91.6</v>
      </c>
      <c r="G23" s="3">
        <v>86.0</v>
      </c>
    </row>
    <row r="24">
      <c r="A24" s="4">
        <v>40848.0</v>
      </c>
      <c r="B24" s="3">
        <v>2011.0</v>
      </c>
      <c r="C24" s="3">
        <v>11.0</v>
      </c>
      <c r="D24" s="3" t="s">
        <v>7</v>
      </c>
      <c r="E24" s="3">
        <v>73.97</v>
      </c>
      <c r="F24" s="3">
        <v>88.59</v>
      </c>
      <c r="G24" s="3">
        <v>83.5</v>
      </c>
    </row>
    <row r="25">
      <c r="A25" s="4">
        <v>40878.0</v>
      </c>
      <c r="B25" s="3">
        <v>2011.0</v>
      </c>
      <c r="C25" s="3">
        <v>12.0</v>
      </c>
      <c r="D25" s="3" t="s">
        <v>7</v>
      </c>
      <c r="E25" s="3">
        <v>67.15</v>
      </c>
      <c r="F25" s="3">
        <v>83.79</v>
      </c>
      <c r="G25" s="3">
        <v>80.1</v>
      </c>
    </row>
    <row r="26">
      <c r="A26" s="2">
        <v>40909.0</v>
      </c>
      <c r="B26" s="3">
        <v>2012.0</v>
      </c>
      <c r="C26" s="3">
        <v>1.0</v>
      </c>
      <c r="D26" s="3" t="s">
        <v>7</v>
      </c>
      <c r="E26" s="3">
        <v>69.75</v>
      </c>
      <c r="F26" s="3">
        <v>85.61</v>
      </c>
      <c r="G26" s="3">
        <v>81.5</v>
      </c>
    </row>
    <row r="27">
      <c r="A27" s="2">
        <v>40940.0</v>
      </c>
      <c r="B27" s="3">
        <v>2012.0</v>
      </c>
      <c r="C27" s="3">
        <v>2.0</v>
      </c>
      <c r="D27" s="3" t="s">
        <v>7</v>
      </c>
      <c r="E27" s="3">
        <v>66.97</v>
      </c>
      <c r="F27" s="3">
        <v>81.21</v>
      </c>
      <c r="G27" s="3">
        <v>82.5</v>
      </c>
    </row>
    <row r="28">
      <c r="A28" s="2">
        <v>40969.0</v>
      </c>
      <c r="B28" s="3">
        <v>2012.0</v>
      </c>
      <c r="C28" s="3">
        <v>3.0</v>
      </c>
      <c r="D28" s="3" t="s">
        <v>7</v>
      </c>
      <c r="E28" s="3">
        <v>66.84</v>
      </c>
      <c r="F28" s="3">
        <v>78.89</v>
      </c>
      <c r="G28" s="3">
        <v>84.7</v>
      </c>
    </row>
    <row r="29">
      <c r="A29" s="2">
        <v>41000.0</v>
      </c>
      <c r="B29" s="3">
        <v>2012.0</v>
      </c>
      <c r="C29" s="3">
        <v>4.0</v>
      </c>
      <c r="D29" s="3" t="s">
        <v>7</v>
      </c>
      <c r="E29" s="3">
        <v>71.0</v>
      </c>
      <c r="F29" s="3">
        <v>90.51</v>
      </c>
      <c r="G29" s="3">
        <v>78.4</v>
      </c>
    </row>
    <row r="30">
      <c r="A30" s="2">
        <v>41030.0</v>
      </c>
      <c r="B30" s="3">
        <v>2012.0</v>
      </c>
      <c r="C30" s="3">
        <v>5.0</v>
      </c>
      <c r="D30" s="3" t="s">
        <v>7</v>
      </c>
      <c r="E30" s="3">
        <v>75.69</v>
      </c>
      <c r="F30" s="3">
        <v>91.08</v>
      </c>
      <c r="G30" s="3">
        <v>83.1</v>
      </c>
    </row>
    <row r="31">
      <c r="A31" s="2">
        <v>41061.0</v>
      </c>
      <c r="B31" s="3">
        <v>2012.0</v>
      </c>
      <c r="C31" s="3">
        <v>6.0</v>
      </c>
      <c r="D31" s="3" t="s">
        <v>7</v>
      </c>
      <c r="E31" s="3">
        <v>84.6</v>
      </c>
      <c r="F31" s="3">
        <v>107.27</v>
      </c>
      <c r="G31" s="3">
        <v>78.9</v>
      </c>
    </row>
    <row r="32">
      <c r="A32" s="2">
        <v>41091.0</v>
      </c>
      <c r="B32" s="3">
        <v>2012.0</v>
      </c>
      <c r="C32" s="3">
        <v>7.0</v>
      </c>
      <c r="D32" s="3" t="s">
        <v>7</v>
      </c>
      <c r="E32" s="3">
        <v>86.24</v>
      </c>
      <c r="F32" s="3">
        <v>106.68</v>
      </c>
      <c r="G32" s="3">
        <v>80.8</v>
      </c>
    </row>
    <row r="33">
      <c r="A33" s="2">
        <v>41122.0</v>
      </c>
      <c r="B33" s="3">
        <v>2012.0</v>
      </c>
      <c r="C33" s="3">
        <v>8.0</v>
      </c>
      <c r="D33" s="3" t="s">
        <v>7</v>
      </c>
      <c r="E33" s="3">
        <v>88.99</v>
      </c>
      <c r="F33" s="3">
        <v>112.29</v>
      </c>
      <c r="G33" s="3">
        <v>79.2</v>
      </c>
    </row>
    <row r="34">
      <c r="A34" s="2">
        <v>41153.0</v>
      </c>
      <c r="B34" s="3">
        <v>2012.0</v>
      </c>
      <c r="C34" s="3">
        <v>9.0</v>
      </c>
      <c r="D34" s="3" t="s">
        <v>7</v>
      </c>
      <c r="E34" s="3">
        <v>87.0</v>
      </c>
      <c r="F34" s="3">
        <v>108.02</v>
      </c>
      <c r="G34" s="3">
        <v>80.5</v>
      </c>
    </row>
    <row r="35">
      <c r="A35" s="4">
        <v>41183.0</v>
      </c>
      <c r="B35" s="3">
        <v>2012.0</v>
      </c>
      <c r="C35" s="3">
        <v>10.0</v>
      </c>
      <c r="D35" s="3" t="s">
        <v>7</v>
      </c>
      <c r="E35" s="3">
        <v>86.58</v>
      </c>
      <c r="F35" s="3">
        <v>103.55</v>
      </c>
      <c r="G35" s="3">
        <v>83.6</v>
      </c>
    </row>
    <row r="36">
      <c r="A36" s="4">
        <v>41214.0</v>
      </c>
      <c r="B36" s="3">
        <v>2012.0</v>
      </c>
      <c r="C36" s="3">
        <v>11.0</v>
      </c>
      <c r="D36" s="3" t="s">
        <v>7</v>
      </c>
      <c r="E36" s="3">
        <v>78.59</v>
      </c>
      <c r="F36" s="3">
        <v>96.77</v>
      </c>
      <c r="G36" s="3">
        <v>81.2</v>
      </c>
    </row>
    <row r="37">
      <c r="A37" s="4">
        <v>41244.0</v>
      </c>
      <c r="B37" s="3">
        <v>2012.0</v>
      </c>
      <c r="C37" s="3">
        <v>12.0</v>
      </c>
      <c r="D37" s="3" t="s">
        <v>7</v>
      </c>
      <c r="E37" s="3">
        <v>73.54</v>
      </c>
      <c r="F37" s="3">
        <v>91.5</v>
      </c>
      <c r="G37" s="3">
        <v>80.4</v>
      </c>
    </row>
    <row r="38">
      <c r="A38" s="2">
        <v>41275.0</v>
      </c>
      <c r="B38" s="3">
        <v>2013.0</v>
      </c>
      <c r="C38" s="3">
        <v>1.0</v>
      </c>
      <c r="D38" s="3" t="s">
        <v>7</v>
      </c>
      <c r="E38" s="3">
        <v>66.75</v>
      </c>
      <c r="F38" s="3">
        <v>83.31</v>
      </c>
      <c r="G38" s="3">
        <v>80.1</v>
      </c>
    </row>
    <row r="39">
      <c r="A39" s="2">
        <v>41306.0</v>
      </c>
      <c r="B39" s="3">
        <v>2013.0</v>
      </c>
      <c r="C39" s="3">
        <v>2.0</v>
      </c>
      <c r="D39" s="3" t="s">
        <v>7</v>
      </c>
      <c r="E39" s="3">
        <v>66.41</v>
      </c>
      <c r="F39" s="3">
        <v>83.35</v>
      </c>
      <c r="G39" s="3">
        <v>79.7</v>
      </c>
    </row>
    <row r="40">
      <c r="A40" s="2">
        <v>41334.0</v>
      </c>
      <c r="B40" s="3">
        <v>2013.0</v>
      </c>
      <c r="C40" s="3">
        <v>3.0</v>
      </c>
      <c r="D40" s="3" t="s">
        <v>7</v>
      </c>
      <c r="E40" s="3">
        <v>69.83</v>
      </c>
      <c r="F40" s="3">
        <v>83.67</v>
      </c>
      <c r="G40" s="3">
        <v>83.5</v>
      </c>
    </row>
    <row r="41">
      <c r="A41" s="2">
        <v>41365.0</v>
      </c>
      <c r="B41" s="3">
        <v>2013.0</v>
      </c>
      <c r="C41" s="3">
        <v>4.0</v>
      </c>
      <c r="D41" s="3" t="s">
        <v>7</v>
      </c>
      <c r="E41" s="3">
        <v>70.65</v>
      </c>
      <c r="F41" s="3">
        <v>86.1</v>
      </c>
      <c r="G41" s="3">
        <v>82.1</v>
      </c>
    </row>
    <row r="42">
      <c r="A42" s="2">
        <v>41395.0</v>
      </c>
      <c r="B42" s="3">
        <v>2013.0</v>
      </c>
      <c r="C42" s="3">
        <v>5.0</v>
      </c>
      <c r="D42" s="3" t="s">
        <v>7</v>
      </c>
      <c r="E42" s="3">
        <v>79.81</v>
      </c>
      <c r="F42" s="3">
        <v>96.52</v>
      </c>
      <c r="G42" s="3">
        <v>82.7</v>
      </c>
    </row>
    <row r="43">
      <c r="A43" s="2">
        <v>41426.0</v>
      </c>
      <c r="B43" s="3">
        <v>2013.0</v>
      </c>
      <c r="C43" s="3">
        <v>6.0</v>
      </c>
      <c r="D43" s="3" t="s">
        <v>7</v>
      </c>
      <c r="E43" s="3">
        <v>86.58</v>
      </c>
      <c r="F43" s="3">
        <v>109.46</v>
      </c>
      <c r="G43" s="3">
        <v>79.1</v>
      </c>
    </row>
    <row r="44">
      <c r="A44" s="2">
        <v>41456.0</v>
      </c>
      <c r="B44" s="3">
        <v>2013.0</v>
      </c>
      <c r="C44" s="3">
        <v>7.0</v>
      </c>
      <c r="D44" s="3" t="s">
        <v>7</v>
      </c>
      <c r="E44" s="3">
        <v>87.9</v>
      </c>
      <c r="F44" s="3">
        <v>107.12</v>
      </c>
      <c r="G44" s="3">
        <v>82.1</v>
      </c>
    </row>
    <row r="45">
      <c r="A45" s="2">
        <v>41487.0</v>
      </c>
      <c r="B45" s="3">
        <v>2013.0</v>
      </c>
      <c r="C45" s="3">
        <v>8.0</v>
      </c>
      <c r="D45" s="3" t="s">
        <v>7</v>
      </c>
      <c r="E45" s="3">
        <v>96.11</v>
      </c>
      <c r="F45" s="3">
        <v>123.9</v>
      </c>
      <c r="G45" s="3">
        <v>77.6</v>
      </c>
    </row>
    <row r="46">
      <c r="A46" s="2">
        <v>41518.0</v>
      </c>
      <c r="B46" s="3">
        <v>2013.0</v>
      </c>
      <c r="C46" s="3">
        <v>9.0</v>
      </c>
      <c r="D46" s="3" t="s">
        <v>7</v>
      </c>
      <c r="E46" s="3">
        <v>92.78</v>
      </c>
      <c r="F46" s="3">
        <v>109.96</v>
      </c>
      <c r="G46" s="3">
        <v>84.4</v>
      </c>
    </row>
    <row r="47">
      <c r="A47" s="4">
        <v>41548.0</v>
      </c>
      <c r="B47" s="3">
        <v>2013.0</v>
      </c>
      <c r="C47" s="3">
        <v>10.0</v>
      </c>
      <c r="D47" s="3" t="s">
        <v>7</v>
      </c>
      <c r="E47" s="3">
        <v>87.21</v>
      </c>
      <c r="F47" s="3">
        <v>104.95</v>
      </c>
      <c r="G47" s="3">
        <v>83.1</v>
      </c>
    </row>
    <row r="48">
      <c r="A48" s="4">
        <v>41579.0</v>
      </c>
      <c r="B48" s="3">
        <v>2013.0</v>
      </c>
      <c r="C48" s="3">
        <v>11.0</v>
      </c>
      <c r="D48" s="3" t="s">
        <v>7</v>
      </c>
      <c r="E48" s="3">
        <v>80.03</v>
      </c>
      <c r="F48" s="3">
        <v>97.88</v>
      </c>
      <c r="G48" s="3">
        <v>81.8</v>
      </c>
    </row>
    <row r="49">
      <c r="A49" s="4">
        <v>41609.0</v>
      </c>
      <c r="B49" s="3">
        <v>2013.0</v>
      </c>
      <c r="C49" s="3">
        <v>12.0</v>
      </c>
      <c r="D49" s="3" t="s">
        <v>7</v>
      </c>
      <c r="E49" s="3">
        <v>72.22</v>
      </c>
      <c r="F49" s="3">
        <v>93.42</v>
      </c>
      <c r="G49" s="3">
        <v>77.3</v>
      </c>
    </row>
    <row r="50">
      <c r="A50" s="2">
        <v>41640.0</v>
      </c>
      <c r="B50" s="3">
        <v>2014.0</v>
      </c>
      <c r="C50" s="3">
        <v>1.0</v>
      </c>
      <c r="D50" s="3" t="s">
        <v>7</v>
      </c>
      <c r="E50" s="3">
        <v>73.57</v>
      </c>
      <c r="F50" s="3">
        <v>91.93</v>
      </c>
      <c r="G50" s="3">
        <v>80.0</v>
      </c>
    </row>
    <row r="51">
      <c r="A51" s="2">
        <v>41671.0</v>
      </c>
      <c r="B51" s="3">
        <v>2014.0</v>
      </c>
      <c r="C51" s="3">
        <v>2.0</v>
      </c>
      <c r="D51" s="3" t="s">
        <v>7</v>
      </c>
      <c r="E51" s="3">
        <v>69.12</v>
      </c>
      <c r="F51" s="3">
        <v>87.24</v>
      </c>
      <c r="G51" s="3">
        <v>79.2</v>
      </c>
    </row>
    <row r="52">
      <c r="A52" s="2">
        <v>41699.0</v>
      </c>
      <c r="B52" s="3">
        <v>2014.0</v>
      </c>
      <c r="C52" s="3">
        <v>3.0</v>
      </c>
      <c r="D52" s="3" t="s">
        <v>7</v>
      </c>
      <c r="E52" s="3">
        <v>68.95</v>
      </c>
      <c r="F52" s="3">
        <v>84.44</v>
      </c>
      <c r="G52" s="3">
        <v>81.7</v>
      </c>
    </row>
    <row r="53">
      <c r="A53" s="2">
        <v>41730.0</v>
      </c>
      <c r="B53" s="3">
        <v>2014.0</v>
      </c>
      <c r="C53" s="3">
        <v>4.0</v>
      </c>
      <c r="D53" s="3" t="s">
        <v>7</v>
      </c>
      <c r="E53" s="3">
        <v>75.02</v>
      </c>
      <c r="F53" s="3">
        <v>90.65</v>
      </c>
      <c r="G53" s="3">
        <v>82.8</v>
      </c>
    </row>
    <row r="54">
      <c r="A54" s="2">
        <v>41760.0</v>
      </c>
      <c r="B54" s="3">
        <v>2014.0</v>
      </c>
      <c r="C54" s="3">
        <v>5.0</v>
      </c>
      <c r="D54" s="3" t="s">
        <v>7</v>
      </c>
      <c r="E54" s="3">
        <v>84.27</v>
      </c>
      <c r="F54" s="3">
        <v>101.97</v>
      </c>
      <c r="G54" s="3">
        <v>82.6</v>
      </c>
    </row>
    <row r="55">
      <c r="A55" s="2">
        <v>41791.0</v>
      </c>
      <c r="B55" s="3">
        <v>2014.0</v>
      </c>
      <c r="C55" s="3">
        <v>6.0</v>
      </c>
      <c r="D55" s="3" t="s">
        <v>7</v>
      </c>
      <c r="E55" s="3">
        <v>90.26</v>
      </c>
      <c r="F55" s="3">
        <v>106.0</v>
      </c>
      <c r="G55" s="3">
        <v>85.2</v>
      </c>
    </row>
    <row r="56">
      <c r="A56" s="2">
        <v>41821.0</v>
      </c>
      <c r="B56" s="3">
        <v>2014.0</v>
      </c>
      <c r="C56" s="3">
        <v>7.0</v>
      </c>
      <c r="D56" s="3" t="s">
        <v>7</v>
      </c>
      <c r="E56" s="3">
        <v>91.48</v>
      </c>
      <c r="F56" s="3">
        <v>111.71</v>
      </c>
      <c r="G56" s="3">
        <v>81.9</v>
      </c>
    </row>
    <row r="57">
      <c r="A57" s="2">
        <v>41852.0</v>
      </c>
      <c r="B57" s="3">
        <v>2014.0</v>
      </c>
      <c r="C57" s="3">
        <v>8.0</v>
      </c>
      <c r="D57" s="3" t="s">
        <v>7</v>
      </c>
      <c r="E57" s="3">
        <v>99.74</v>
      </c>
      <c r="F57" s="3">
        <v>118.0</v>
      </c>
      <c r="G57" s="3">
        <v>84.5</v>
      </c>
    </row>
    <row r="58">
      <c r="A58" s="2">
        <v>41883.0</v>
      </c>
      <c r="B58" s="3">
        <v>2014.0</v>
      </c>
      <c r="C58" s="3">
        <v>9.0</v>
      </c>
      <c r="D58" s="3" t="s">
        <v>7</v>
      </c>
      <c r="E58" s="3">
        <v>91.02</v>
      </c>
      <c r="F58" s="3">
        <v>111.85</v>
      </c>
      <c r="G58" s="3">
        <v>81.4</v>
      </c>
    </row>
    <row r="59">
      <c r="A59" s="4">
        <v>41913.0</v>
      </c>
      <c r="B59" s="3">
        <v>2014.0</v>
      </c>
      <c r="C59" s="3">
        <v>10.0</v>
      </c>
      <c r="D59" s="3" t="s">
        <v>7</v>
      </c>
      <c r="E59" s="3">
        <v>94.39</v>
      </c>
      <c r="F59" s="3">
        <v>113.7</v>
      </c>
      <c r="G59" s="3">
        <v>83.0</v>
      </c>
    </row>
    <row r="60">
      <c r="A60" s="4">
        <v>41944.0</v>
      </c>
      <c r="B60" s="3">
        <v>2014.0</v>
      </c>
      <c r="C60" s="3">
        <v>11.0</v>
      </c>
      <c r="D60" s="3" t="s">
        <v>7</v>
      </c>
      <c r="E60" s="3">
        <v>85.03</v>
      </c>
      <c r="F60" s="3">
        <v>104.25</v>
      </c>
      <c r="G60" s="3">
        <v>81.6</v>
      </c>
    </row>
    <row r="61">
      <c r="A61" s="4">
        <v>41974.0</v>
      </c>
      <c r="B61" s="3">
        <v>2014.0</v>
      </c>
      <c r="C61" s="3">
        <v>12.0</v>
      </c>
      <c r="D61" s="3" t="s">
        <v>7</v>
      </c>
      <c r="E61" s="3">
        <v>77.51</v>
      </c>
      <c r="F61" s="3">
        <v>93.87</v>
      </c>
      <c r="G61" s="3">
        <v>82.6</v>
      </c>
    </row>
    <row r="62">
      <c r="A62" s="2">
        <v>42005.0</v>
      </c>
      <c r="B62" s="3">
        <v>2015.0</v>
      </c>
      <c r="C62" s="3">
        <v>1.0</v>
      </c>
      <c r="D62" s="3" t="s">
        <v>7</v>
      </c>
      <c r="E62" s="3">
        <v>73.4</v>
      </c>
      <c r="F62" s="3">
        <v>89.61</v>
      </c>
      <c r="G62" s="3">
        <v>81.9</v>
      </c>
    </row>
    <row r="63">
      <c r="A63" s="2">
        <v>42036.0</v>
      </c>
      <c r="B63" s="3">
        <v>2015.0</v>
      </c>
      <c r="C63" s="3">
        <v>2.0</v>
      </c>
      <c r="D63" s="3" t="s">
        <v>7</v>
      </c>
      <c r="E63" s="3">
        <v>72.62</v>
      </c>
      <c r="F63" s="3">
        <v>90.05</v>
      </c>
      <c r="G63" s="3">
        <v>80.6</v>
      </c>
    </row>
    <row r="64">
      <c r="A64" s="2">
        <v>42064.0</v>
      </c>
      <c r="B64" s="3">
        <v>2015.0</v>
      </c>
      <c r="C64" s="3">
        <v>3.0</v>
      </c>
      <c r="D64" s="3" t="s">
        <v>7</v>
      </c>
      <c r="E64" s="3">
        <v>75.55</v>
      </c>
      <c r="F64" s="3">
        <v>86.02</v>
      </c>
      <c r="G64" s="3">
        <v>87.8</v>
      </c>
    </row>
    <row r="65">
      <c r="A65" s="2">
        <v>42095.0</v>
      </c>
      <c r="B65" s="3">
        <v>2015.0</v>
      </c>
      <c r="C65" s="3">
        <v>4.0</v>
      </c>
      <c r="D65" s="3" t="s">
        <v>7</v>
      </c>
      <c r="E65" s="3">
        <v>75.15</v>
      </c>
      <c r="F65" s="3">
        <v>90.92</v>
      </c>
      <c r="G65" s="3">
        <v>82.6</v>
      </c>
    </row>
    <row r="66">
      <c r="A66" s="2">
        <v>42125.0</v>
      </c>
      <c r="B66" s="3">
        <v>2015.0</v>
      </c>
      <c r="C66" s="3">
        <v>5.0</v>
      </c>
      <c r="D66" s="3" t="s">
        <v>7</v>
      </c>
      <c r="E66" s="3">
        <v>83.98</v>
      </c>
      <c r="F66" s="3">
        <v>100.99</v>
      </c>
      <c r="G66" s="3">
        <v>83.2</v>
      </c>
    </row>
    <row r="67">
      <c r="A67" s="2">
        <v>42156.0</v>
      </c>
      <c r="B67" s="3">
        <v>2015.0</v>
      </c>
      <c r="C67" s="3">
        <v>6.0</v>
      </c>
      <c r="D67" s="3" t="s">
        <v>7</v>
      </c>
      <c r="E67" s="3">
        <v>92.74</v>
      </c>
      <c r="F67" s="3">
        <v>111.03</v>
      </c>
      <c r="G67" s="3">
        <v>83.5</v>
      </c>
    </row>
    <row r="68">
      <c r="A68" s="2">
        <v>42186.0</v>
      </c>
      <c r="B68" s="3">
        <v>2015.0</v>
      </c>
      <c r="C68" s="3">
        <v>7.0</v>
      </c>
      <c r="D68" s="3" t="s">
        <v>7</v>
      </c>
      <c r="E68" s="3">
        <v>101.1</v>
      </c>
      <c r="F68" s="3">
        <v>122.72</v>
      </c>
      <c r="G68" s="3">
        <v>82.4</v>
      </c>
    </row>
    <row r="69">
      <c r="A69" s="2">
        <v>42217.0</v>
      </c>
      <c r="B69" s="3">
        <v>2015.0</v>
      </c>
      <c r="C69" s="3">
        <v>8.0</v>
      </c>
      <c r="D69" s="3" t="s">
        <v>7</v>
      </c>
      <c r="E69" s="3">
        <v>103.04</v>
      </c>
      <c r="F69" s="3">
        <v>133.27</v>
      </c>
      <c r="G69" s="3">
        <v>77.3</v>
      </c>
    </row>
    <row r="70">
      <c r="A70" s="2">
        <v>42248.0</v>
      </c>
      <c r="B70" s="3">
        <v>2015.0</v>
      </c>
      <c r="C70" s="3">
        <v>9.0</v>
      </c>
      <c r="D70" s="3" t="s">
        <v>7</v>
      </c>
      <c r="E70" s="3">
        <v>102.91</v>
      </c>
      <c r="F70" s="3">
        <v>124.36</v>
      </c>
      <c r="G70" s="3">
        <v>82.8</v>
      </c>
    </row>
    <row r="71">
      <c r="A71" s="4">
        <v>42278.0</v>
      </c>
      <c r="B71" s="3">
        <v>2015.0</v>
      </c>
      <c r="C71" s="3">
        <v>10.0</v>
      </c>
      <c r="D71" s="3" t="s">
        <v>7</v>
      </c>
      <c r="E71" s="3">
        <v>96.67</v>
      </c>
      <c r="F71" s="3">
        <v>121.5</v>
      </c>
      <c r="G71" s="3">
        <v>79.6</v>
      </c>
    </row>
    <row r="72">
      <c r="A72" s="4">
        <v>42309.0</v>
      </c>
      <c r="B72" s="3">
        <v>2015.0</v>
      </c>
      <c r="C72" s="3">
        <v>11.0</v>
      </c>
      <c r="D72" s="3" t="s">
        <v>7</v>
      </c>
      <c r="E72" s="3">
        <v>85.14</v>
      </c>
      <c r="F72" s="3">
        <v>103.46</v>
      </c>
      <c r="G72" s="3">
        <v>82.3</v>
      </c>
    </row>
    <row r="73">
      <c r="A73" s="4">
        <v>42339.0</v>
      </c>
      <c r="B73" s="3">
        <v>2015.0</v>
      </c>
      <c r="C73" s="3">
        <v>12.0</v>
      </c>
      <c r="D73" s="3" t="s">
        <v>7</v>
      </c>
      <c r="E73" s="3">
        <v>80.92</v>
      </c>
      <c r="F73" s="3">
        <v>98.0</v>
      </c>
      <c r="G73" s="3">
        <v>82.6</v>
      </c>
    </row>
    <row r="74">
      <c r="A74" s="2">
        <v>42370.0</v>
      </c>
      <c r="B74" s="3">
        <v>2016.0</v>
      </c>
      <c r="C74" s="3">
        <v>1.0</v>
      </c>
      <c r="D74" s="3" t="s">
        <v>7</v>
      </c>
      <c r="E74" s="3">
        <v>78.88</v>
      </c>
      <c r="F74" s="3">
        <v>100.52</v>
      </c>
      <c r="G74" s="3">
        <v>78.5</v>
      </c>
    </row>
    <row r="75">
      <c r="A75" s="2">
        <v>42401.0</v>
      </c>
      <c r="B75" s="3">
        <v>2016.0</v>
      </c>
      <c r="C75" s="3">
        <v>2.0</v>
      </c>
      <c r="D75" s="3" t="s">
        <v>7</v>
      </c>
      <c r="E75" s="3">
        <v>77.0</v>
      </c>
      <c r="F75" s="3">
        <v>93.88</v>
      </c>
      <c r="G75" s="3">
        <v>82.0</v>
      </c>
    </row>
    <row r="76">
      <c r="A76" s="2">
        <v>42430.0</v>
      </c>
      <c r="B76" s="3">
        <v>2016.0</v>
      </c>
      <c r="C76" s="3">
        <v>3.0</v>
      </c>
      <c r="D76" s="3" t="s">
        <v>7</v>
      </c>
      <c r="E76" s="3">
        <v>76.28</v>
      </c>
      <c r="F76" s="3">
        <v>96.49</v>
      </c>
      <c r="G76" s="3">
        <v>79.1</v>
      </c>
    </row>
    <row r="77">
      <c r="A77" s="2">
        <v>42461.0</v>
      </c>
      <c r="B77" s="3">
        <v>2016.0</v>
      </c>
      <c r="C77" s="3">
        <v>4.0</v>
      </c>
      <c r="D77" s="3" t="s">
        <v>7</v>
      </c>
      <c r="E77" s="3">
        <v>83.05</v>
      </c>
      <c r="F77" s="3">
        <v>107.62</v>
      </c>
      <c r="G77" s="3">
        <v>77.2</v>
      </c>
    </row>
    <row r="78">
      <c r="A78" s="2">
        <v>42491.0</v>
      </c>
      <c r="B78" s="3">
        <v>2016.0</v>
      </c>
      <c r="C78" s="3">
        <v>5.0</v>
      </c>
      <c r="D78" s="3" t="s">
        <v>7</v>
      </c>
      <c r="E78" s="3">
        <v>90.41</v>
      </c>
      <c r="F78" s="3">
        <v>114.42</v>
      </c>
      <c r="G78" s="3">
        <v>79.0</v>
      </c>
    </row>
    <row r="79">
      <c r="A79" s="2">
        <v>42522.0</v>
      </c>
      <c r="B79" s="3">
        <v>2016.0</v>
      </c>
      <c r="C79" s="3">
        <v>6.0</v>
      </c>
      <c r="D79" s="3" t="s">
        <v>7</v>
      </c>
      <c r="E79" s="3">
        <v>95.72</v>
      </c>
      <c r="F79" s="3">
        <v>117.07</v>
      </c>
      <c r="G79" s="3">
        <v>81.8</v>
      </c>
    </row>
    <row r="80">
      <c r="A80" s="2">
        <v>42552.0</v>
      </c>
      <c r="B80" s="3">
        <v>2016.0</v>
      </c>
      <c r="C80" s="3">
        <v>7.0</v>
      </c>
      <c r="D80" s="3" t="s">
        <v>7</v>
      </c>
      <c r="E80" s="3">
        <v>104.3</v>
      </c>
      <c r="F80" s="3">
        <v>127.75</v>
      </c>
      <c r="G80" s="3">
        <v>81.6</v>
      </c>
    </row>
    <row r="81">
      <c r="A81" s="2">
        <v>42583.0</v>
      </c>
      <c r="B81" s="3">
        <v>2016.0</v>
      </c>
      <c r="C81" s="3">
        <v>8.0</v>
      </c>
      <c r="D81" s="3" t="s">
        <v>7</v>
      </c>
      <c r="E81" s="3">
        <v>100.64</v>
      </c>
      <c r="F81" s="3">
        <v>124.27</v>
      </c>
      <c r="G81" s="3">
        <v>81.0</v>
      </c>
    </row>
    <row r="82">
      <c r="A82" s="2">
        <v>42614.0</v>
      </c>
      <c r="B82" s="3">
        <v>2016.0</v>
      </c>
      <c r="C82" s="3">
        <v>9.0</v>
      </c>
      <c r="D82" s="3" t="s">
        <v>7</v>
      </c>
      <c r="E82" s="3">
        <v>105.16</v>
      </c>
      <c r="F82" s="3">
        <v>126.59</v>
      </c>
      <c r="G82" s="3">
        <v>83.1</v>
      </c>
    </row>
    <row r="83">
      <c r="A83" s="4">
        <v>42644.0</v>
      </c>
      <c r="B83" s="3">
        <v>2016.0</v>
      </c>
      <c r="C83" s="3">
        <v>10.0</v>
      </c>
      <c r="D83" s="3" t="s">
        <v>7</v>
      </c>
      <c r="E83" s="3">
        <v>95.44</v>
      </c>
      <c r="F83" s="3">
        <v>117.06</v>
      </c>
      <c r="G83" s="3">
        <v>81.5</v>
      </c>
    </row>
    <row r="84">
      <c r="A84" s="4">
        <v>42675.0</v>
      </c>
      <c r="B84" s="3">
        <v>2016.0</v>
      </c>
      <c r="C84" s="3">
        <v>11.0</v>
      </c>
      <c r="D84" s="3" t="s">
        <v>7</v>
      </c>
      <c r="E84" s="3">
        <v>85.91</v>
      </c>
      <c r="F84" s="3">
        <v>103.78</v>
      </c>
      <c r="G84" s="3">
        <v>82.8</v>
      </c>
    </row>
    <row r="85">
      <c r="A85" s="4">
        <v>42705.0</v>
      </c>
      <c r="B85" s="3">
        <v>2016.0</v>
      </c>
      <c r="C85" s="3">
        <v>12.0</v>
      </c>
      <c r="D85" s="3" t="s">
        <v>7</v>
      </c>
      <c r="E85" s="3">
        <v>79.21</v>
      </c>
      <c r="F85" s="3">
        <v>94.85</v>
      </c>
      <c r="G85" s="3">
        <v>83.5</v>
      </c>
    </row>
    <row r="86">
      <c r="A86" s="2">
        <v>42736.0</v>
      </c>
      <c r="B86" s="3">
        <v>2017.0</v>
      </c>
      <c r="C86" s="3">
        <v>1.0</v>
      </c>
      <c r="D86" s="3" t="s">
        <v>7</v>
      </c>
      <c r="E86" s="3">
        <v>79.05</v>
      </c>
      <c r="F86" s="3">
        <v>91.1</v>
      </c>
      <c r="G86" s="3">
        <v>86.8</v>
      </c>
    </row>
    <row r="87">
      <c r="A87" s="2">
        <v>42767.0</v>
      </c>
      <c r="B87" s="3">
        <v>2017.0</v>
      </c>
      <c r="C87" s="3">
        <v>2.0</v>
      </c>
      <c r="D87" s="3" t="s">
        <v>7</v>
      </c>
      <c r="E87" s="3">
        <v>74.62</v>
      </c>
      <c r="F87" s="3">
        <v>91.22</v>
      </c>
      <c r="G87" s="3">
        <v>81.8</v>
      </c>
    </row>
    <row r="88">
      <c r="A88" s="2">
        <v>42795.0</v>
      </c>
      <c r="B88" s="3">
        <v>2017.0</v>
      </c>
      <c r="C88" s="3">
        <v>3.0</v>
      </c>
      <c r="D88" s="3" t="s">
        <v>7</v>
      </c>
      <c r="E88" s="3">
        <v>83.53</v>
      </c>
      <c r="F88" s="3">
        <v>98.99</v>
      </c>
      <c r="G88" s="3">
        <v>84.4</v>
      </c>
    </row>
    <row r="89">
      <c r="A89" s="2">
        <v>42826.0</v>
      </c>
      <c r="B89" s="3">
        <v>2017.0</v>
      </c>
      <c r="C89" s="3">
        <v>4.0</v>
      </c>
      <c r="D89" s="3" t="s">
        <v>7</v>
      </c>
      <c r="E89" s="3">
        <v>82.6</v>
      </c>
      <c r="F89" s="3">
        <v>100.19</v>
      </c>
      <c r="G89" s="3">
        <v>82.4</v>
      </c>
    </row>
    <row r="90">
      <c r="A90" s="2">
        <v>42856.0</v>
      </c>
      <c r="B90" s="3">
        <v>2017.0</v>
      </c>
      <c r="C90" s="3">
        <v>5.0</v>
      </c>
      <c r="D90" s="3" t="s">
        <v>7</v>
      </c>
      <c r="E90" s="3">
        <v>91.42</v>
      </c>
      <c r="F90" s="3">
        <v>110.73</v>
      </c>
      <c r="G90" s="3">
        <v>82.6</v>
      </c>
    </row>
    <row r="91">
      <c r="A91" s="2">
        <v>42887.0</v>
      </c>
      <c r="B91" s="3">
        <v>2017.0</v>
      </c>
      <c r="C91" s="3">
        <v>6.0</v>
      </c>
      <c r="D91" s="3" t="s">
        <v>7</v>
      </c>
      <c r="E91" s="3">
        <v>96.48</v>
      </c>
      <c r="F91" s="3">
        <v>117.91</v>
      </c>
      <c r="G91" s="3">
        <v>81.8</v>
      </c>
    </row>
    <row r="92">
      <c r="A92" s="2">
        <v>42917.0</v>
      </c>
      <c r="B92" s="3">
        <v>2017.0</v>
      </c>
      <c r="C92" s="3">
        <v>7.0</v>
      </c>
      <c r="D92" s="3" t="s">
        <v>7</v>
      </c>
      <c r="E92" s="3">
        <v>98.95</v>
      </c>
      <c r="F92" s="3">
        <v>120.27</v>
      </c>
      <c r="G92" s="3">
        <v>82.3</v>
      </c>
    </row>
    <row r="93">
      <c r="A93" s="2">
        <v>42948.0</v>
      </c>
      <c r="B93" s="3">
        <v>2017.0</v>
      </c>
      <c r="C93" s="3">
        <v>8.0</v>
      </c>
      <c r="D93" s="3" t="s">
        <v>7</v>
      </c>
      <c r="E93" s="3">
        <v>107.36</v>
      </c>
      <c r="F93" s="3">
        <v>131.66</v>
      </c>
      <c r="G93" s="3">
        <v>81.5</v>
      </c>
    </row>
    <row r="94">
      <c r="A94" s="2">
        <v>42979.0</v>
      </c>
      <c r="B94" s="3">
        <v>2017.0</v>
      </c>
      <c r="C94" s="3">
        <v>9.0</v>
      </c>
      <c r="D94" s="3" t="s">
        <v>7</v>
      </c>
      <c r="E94" s="3">
        <v>99.39</v>
      </c>
      <c r="F94" s="3">
        <v>118.36</v>
      </c>
      <c r="G94" s="3">
        <v>84.0</v>
      </c>
    </row>
    <row r="95">
      <c r="A95" s="4">
        <v>43009.0</v>
      </c>
      <c r="B95" s="3">
        <v>2017.0</v>
      </c>
      <c r="C95" s="3">
        <v>10.0</v>
      </c>
      <c r="D95" s="3" t="s">
        <v>7</v>
      </c>
      <c r="E95" s="3">
        <v>100.6</v>
      </c>
      <c r="F95" s="3">
        <v>124.89</v>
      </c>
      <c r="G95" s="3">
        <v>80.5</v>
      </c>
    </row>
    <row r="96">
      <c r="A96" s="4">
        <v>43040.0</v>
      </c>
      <c r="B96" s="3">
        <v>2017.0</v>
      </c>
      <c r="C96" s="3">
        <v>11.0</v>
      </c>
      <c r="D96" s="3" t="s">
        <v>7</v>
      </c>
      <c r="E96" s="3">
        <v>92.01</v>
      </c>
      <c r="F96" s="3">
        <v>116.48</v>
      </c>
      <c r="G96" s="3">
        <v>79.0</v>
      </c>
    </row>
    <row r="97">
      <c r="A97" s="4">
        <v>43070.0</v>
      </c>
      <c r="B97" s="3">
        <v>2017.0</v>
      </c>
      <c r="C97" s="3">
        <v>12.0</v>
      </c>
      <c r="D97" s="3" t="s">
        <v>7</v>
      </c>
      <c r="E97" s="3">
        <v>83.44</v>
      </c>
      <c r="F97" s="3">
        <v>103.11</v>
      </c>
      <c r="G97" s="3">
        <v>80.9</v>
      </c>
    </row>
    <row r="98">
      <c r="A98" s="2">
        <v>43101.0</v>
      </c>
      <c r="B98" s="3">
        <v>2018.0</v>
      </c>
      <c r="C98" s="3">
        <v>1.0</v>
      </c>
      <c r="D98" s="3" t="s">
        <v>7</v>
      </c>
      <c r="E98" s="3">
        <v>84.18</v>
      </c>
      <c r="F98" s="3">
        <v>104.29</v>
      </c>
      <c r="G98" s="3">
        <v>80.7</v>
      </c>
    </row>
    <row r="99">
      <c r="A99" s="2">
        <v>43132.0</v>
      </c>
      <c r="B99" s="3">
        <v>2018.0</v>
      </c>
      <c r="C99" s="3">
        <v>2.0</v>
      </c>
      <c r="D99" s="3" t="s">
        <v>7</v>
      </c>
      <c r="E99" s="3">
        <v>81.0</v>
      </c>
      <c r="F99" s="3">
        <v>100.09</v>
      </c>
      <c r="G99" s="3">
        <v>80.9</v>
      </c>
    </row>
    <row r="100">
      <c r="A100" s="2">
        <v>43160.0</v>
      </c>
      <c r="B100" s="3">
        <v>2018.0</v>
      </c>
      <c r="C100" s="3">
        <v>3.0</v>
      </c>
      <c r="D100" s="3" t="s">
        <v>7</v>
      </c>
      <c r="E100" s="3">
        <v>82.14</v>
      </c>
      <c r="F100" s="3">
        <v>100.52</v>
      </c>
      <c r="G100" s="3">
        <v>81.7</v>
      </c>
    </row>
    <row r="101">
      <c r="A101" s="2">
        <v>43191.0</v>
      </c>
      <c r="B101" s="3">
        <v>2018.0</v>
      </c>
      <c r="C101" s="3">
        <v>4.0</v>
      </c>
      <c r="D101" s="3" t="s">
        <v>7</v>
      </c>
      <c r="E101" s="3">
        <v>89.2</v>
      </c>
      <c r="F101" s="3">
        <v>110.22</v>
      </c>
      <c r="G101" s="3">
        <v>80.9</v>
      </c>
    </row>
    <row r="102">
      <c r="A102" s="2">
        <v>43221.0</v>
      </c>
      <c r="B102" s="3">
        <v>2018.0</v>
      </c>
      <c r="C102" s="3">
        <v>5.0</v>
      </c>
      <c r="D102" s="3" t="s">
        <v>7</v>
      </c>
      <c r="E102" s="3">
        <v>89.83</v>
      </c>
      <c r="F102" s="3">
        <v>113.37</v>
      </c>
      <c r="G102" s="3">
        <v>79.2</v>
      </c>
    </row>
    <row r="103">
      <c r="A103" s="2">
        <v>43252.0</v>
      </c>
      <c r="B103" s="3">
        <v>2018.0</v>
      </c>
      <c r="C103" s="3">
        <v>6.0</v>
      </c>
      <c r="D103" s="3" t="s">
        <v>7</v>
      </c>
      <c r="E103" s="3">
        <v>99.87</v>
      </c>
      <c r="F103" s="3">
        <v>125.62</v>
      </c>
      <c r="G103" s="3">
        <v>79.5</v>
      </c>
    </row>
    <row r="104">
      <c r="A104" s="2">
        <v>43282.0</v>
      </c>
      <c r="B104" s="3">
        <v>2018.0</v>
      </c>
      <c r="C104" s="3">
        <v>7.0</v>
      </c>
      <c r="D104" s="3" t="s">
        <v>7</v>
      </c>
      <c r="E104" s="3">
        <v>108.24</v>
      </c>
      <c r="F104" s="3">
        <v>133.52</v>
      </c>
      <c r="G104" s="3">
        <v>81.1</v>
      </c>
    </row>
    <row r="105">
      <c r="A105" s="2">
        <v>43313.0</v>
      </c>
      <c r="B105" s="3">
        <v>2018.0</v>
      </c>
      <c r="C105" s="3">
        <v>8.0</v>
      </c>
      <c r="D105" s="3" t="s">
        <v>7</v>
      </c>
      <c r="E105" s="3">
        <v>117.14</v>
      </c>
      <c r="F105" s="3">
        <v>149.17</v>
      </c>
      <c r="G105" s="3">
        <v>78.5</v>
      </c>
    </row>
    <row r="106">
      <c r="A106" s="2">
        <v>43344.0</v>
      </c>
      <c r="B106" s="3">
        <v>2018.0</v>
      </c>
      <c r="C106" s="3">
        <v>9.0</v>
      </c>
      <c r="D106" s="3" t="s">
        <v>7</v>
      </c>
      <c r="E106" s="3">
        <v>108.09</v>
      </c>
      <c r="F106" s="3">
        <v>135.55</v>
      </c>
      <c r="G106" s="3">
        <v>79.7</v>
      </c>
    </row>
    <row r="107">
      <c r="A107" s="4">
        <v>43374.0</v>
      </c>
      <c r="B107" s="3">
        <v>2018.0</v>
      </c>
      <c r="C107" s="3">
        <v>10.0</v>
      </c>
      <c r="D107" s="3" t="s">
        <v>7</v>
      </c>
      <c r="E107" s="3">
        <v>100.96</v>
      </c>
      <c r="F107" s="3">
        <v>122.69</v>
      </c>
      <c r="G107" s="3">
        <v>82.3</v>
      </c>
    </row>
    <row r="108">
      <c r="A108" s="4">
        <v>43405.0</v>
      </c>
      <c r="B108" s="3">
        <v>2018.0</v>
      </c>
      <c r="C108" s="3">
        <v>11.0</v>
      </c>
      <c r="D108" s="3" t="s">
        <v>7</v>
      </c>
      <c r="E108" s="3">
        <v>89.1</v>
      </c>
      <c r="F108" s="3">
        <v>108.04</v>
      </c>
      <c r="G108" s="3">
        <v>82.5</v>
      </c>
    </row>
    <row r="109">
      <c r="A109" s="4">
        <v>43435.0</v>
      </c>
      <c r="B109" s="3">
        <v>2018.0</v>
      </c>
      <c r="C109" s="3">
        <v>12.0</v>
      </c>
      <c r="D109" s="3" t="s">
        <v>7</v>
      </c>
      <c r="E109" s="3">
        <v>93.79</v>
      </c>
      <c r="F109" s="3">
        <v>115.66</v>
      </c>
      <c r="G109" s="3">
        <v>81.1</v>
      </c>
    </row>
    <row r="110">
      <c r="A110" s="2">
        <v>43466.0</v>
      </c>
      <c r="B110" s="3">
        <v>2019.0</v>
      </c>
      <c r="C110" s="3">
        <v>1.0</v>
      </c>
      <c r="D110" s="3" t="s">
        <v>7</v>
      </c>
      <c r="E110" s="3">
        <v>84.18</v>
      </c>
      <c r="F110" s="3">
        <v>100.16</v>
      </c>
      <c r="G110" s="3">
        <v>84.0</v>
      </c>
    </row>
    <row r="111">
      <c r="A111" s="2">
        <v>43497.0</v>
      </c>
      <c r="B111" s="3">
        <v>2019.0</v>
      </c>
      <c r="C111" s="3">
        <v>2.0</v>
      </c>
      <c r="D111" s="3" t="s">
        <v>7</v>
      </c>
      <c r="E111" s="3">
        <v>77.32</v>
      </c>
      <c r="F111" s="3">
        <v>95.65</v>
      </c>
      <c r="G111" s="3">
        <v>80.8</v>
      </c>
    </row>
    <row r="112">
      <c r="A112" s="2">
        <v>43525.0</v>
      </c>
      <c r="B112" s="3">
        <v>2019.0</v>
      </c>
      <c r="C112" s="3">
        <v>3.0</v>
      </c>
      <c r="D112" s="3" t="s">
        <v>7</v>
      </c>
      <c r="E112" s="3">
        <v>70.57</v>
      </c>
      <c r="F112" s="3">
        <v>84.73</v>
      </c>
      <c r="G112" s="3">
        <v>83.3</v>
      </c>
    </row>
    <row r="113">
      <c r="A113" s="2">
        <v>43556.0</v>
      </c>
      <c r="B113" s="3">
        <v>2019.0</v>
      </c>
      <c r="C113" s="3">
        <v>4.0</v>
      </c>
      <c r="D113" s="3" t="s">
        <v>7</v>
      </c>
      <c r="E113" s="3">
        <v>75.82</v>
      </c>
      <c r="F113" s="3">
        <v>94.81</v>
      </c>
      <c r="G113" s="3">
        <v>80.0</v>
      </c>
    </row>
    <row r="114">
      <c r="A114" s="2">
        <v>43586.0</v>
      </c>
      <c r="B114" s="3">
        <v>2019.0</v>
      </c>
      <c r="C114" s="3">
        <v>5.0</v>
      </c>
      <c r="D114" s="3" t="s">
        <v>7</v>
      </c>
      <c r="E114" s="3">
        <v>77.96</v>
      </c>
      <c r="F114" s="3">
        <v>96.45</v>
      </c>
      <c r="G114" s="3">
        <v>80.8</v>
      </c>
    </row>
    <row r="115">
      <c r="A115" s="2">
        <v>43617.0</v>
      </c>
      <c r="B115" s="3">
        <v>2019.0</v>
      </c>
      <c r="C115" s="3">
        <v>6.0</v>
      </c>
      <c r="D115" s="3" t="s">
        <v>7</v>
      </c>
      <c r="E115" s="3">
        <v>77.33</v>
      </c>
      <c r="F115" s="3">
        <v>92.93</v>
      </c>
      <c r="G115" s="3">
        <v>83.2</v>
      </c>
    </row>
    <row r="116">
      <c r="A116" s="2">
        <v>43647.0</v>
      </c>
      <c r="B116" s="3">
        <v>2019.0</v>
      </c>
      <c r="C116" s="3">
        <v>7.0</v>
      </c>
      <c r="D116" s="3" t="s">
        <v>7</v>
      </c>
      <c r="E116" s="3">
        <v>74.35</v>
      </c>
      <c r="F116" s="3">
        <v>88.42</v>
      </c>
      <c r="G116" s="3">
        <v>84.1</v>
      </c>
    </row>
    <row r="117">
      <c r="A117" s="2">
        <v>43678.0</v>
      </c>
      <c r="B117" s="3">
        <v>2019.0</v>
      </c>
      <c r="C117" s="3">
        <v>8.0</v>
      </c>
      <c r="D117" s="3" t="s">
        <v>7</v>
      </c>
      <c r="E117" s="3">
        <v>70.49</v>
      </c>
      <c r="F117" s="3">
        <v>87.37</v>
      </c>
      <c r="G117" s="3">
        <v>80.7</v>
      </c>
    </row>
    <row r="118">
      <c r="A118" s="2">
        <v>43709.0</v>
      </c>
      <c r="B118" s="3">
        <v>2019.0</v>
      </c>
      <c r="C118" s="3">
        <v>9.0</v>
      </c>
      <c r="D118" s="3" t="s">
        <v>7</v>
      </c>
      <c r="E118" s="3">
        <v>71.02</v>
      </c>
      <c r="F118" s="3">
        <v>84.29</v>
      </c>
      <c r="G118" s="3">
        <v>84.3</v>
      </c>
    </row>
    <row r="119">
      <c r="A119" s="4">
        <v>43739.0</v>
      </c>
      <c r="B119" s="3">
        <v>2019.0</v>
      </c>
      <c r="C119" s="3">
        <v>10.0</v>
      </c>
      <c r="D119" s="3" t="s">
        <v>7</v>
      </c>
      <c r="E119" s="3">
        <v>59.03</v>
      </c>
      <c r="F119" s="3">
        <v>73.68</v>
      </c>
      <c r="G119" s="3">
        <v>80.1</v>
      </c>
    </row>
    <row r="120">
      <c r="A120" s="4">
        <v>43770.0</v>
      </c>
      <c r="B120" s="3">
        <v>2019.0</v>
      </c>
      <c r="C120" s="3">
        <v>11.0</v>
      </c>
      <c r="D120" s="3" t="s">
        <v>7</v>
      </c>
      <c r="E120" s="3">
        <v>49.38</v>
      </c>
      <c r="F120" s="3">
        <v>60.11</v>
      </c>
      <c r="G120" s="3">
        <v>82.1</v>
      </c>
    </row>
    <row r="121">
      <c r="A121" s="4">
        <v>43800.0</v>
      </c>
      <c r="B121" s="3">
        <v>2019.0</v>
      </c>
      <c r="C121" s="3">
        <v>12.0</v>
      </c>
      <c r="D121" s="3" t="s">
        <v>7</v>
      </c>
      <c r="E121" s="3">
        <v>42.21</v>
      </c>
      <c r="F121" s="3">
        <v>51.59</v>
      </c>
      <c r="G121" s="3">
        <v>81.8</v>
      </c>
    </row>
    <row r="122">
      <c r="A122" s="2">
        <v>43831.0</v>
      </c>
      <c r="B122" s="3">
        <v>2020.0</v>
      </c>
      <c r="C122" s="3">
        <v>1.0</v>
      </c>
      <c r="D122" s="3" t="s">
        <v>7</v>
      </c>
      <c r="E122" s="3">
        <v>35.64</v>
      </c>
      <c r="F122" s="3">
        <v>43.69</v>
      </c>
      <c r="G122" s="3">
        <v>81.6</v>
      </c>
    </row>
    <row r="123">
      <c r="A123" s="2">
        <v>43862.0</v>
      </c>
      <c r="B123" s="3">
        <v>2020.0</v>
      </c>
      <c r="C123" s="3">
        <v>2.0</v>
      </c>
      <c r="D123" s="3" t="s">
        <v>7</v>
      </c>
      <c r="E123" s="3">
        <v>34.7</v>
      </c>
      <c r="F123" s="3">
        <v>42.85</v>
      </c>
      <c r="G123" s="3">
        <v>81.0</v>
      </c>
    </row>
    <row r="124">
      <c r="A124" s="2">
        <v>43891.0</v>
      </c>
      <c r="B124" s="3">
        <v>2020.0</v>
      </c>
      <c r="C124" s="3">
        <v>3.0</v>
      </c>
      <c r="D124" s="3" t="s">
        <v>7</v>
      </c>
      <c r="E124" s="3">
        <v>5.94</v>
      </c>
      <c r="F124" s="3">
        <v>10.79</v>
      </c>
      <c r="G124" s="3">
        <v>55.0</v>
      </c>
    </row>
    <row r="125">
      <c r="A125" s="2">
        <v>43922.0</v>
      </c>
      <c r="B125" s="3">
        <v>2020.0</v>
      </c>
      <c r="C125" s="3">
        <v>4.0</v>
      </c>
      <c r="D125" s="3" t="s">
        <v>7</v>
      </c>
      <c r="E125" s="3">
        <v>6.33</v>
      </c>
      <c r="F125" s="3">
        <v>11.51</v>
      </c>
      <c r="G125" s="3">
        <v>55.0</v>
      </c>
    </row>
    <row r="126">
      <c r="A126" s="2">
        <v>43952.0</v>
      </c>
      <c r="B126" s="3">
        <v>2020.0</v>
      </c>
      <c r="C126" s="3">
        <v>5.0</v>
      </c>
      <c r="D126" s="3" t="s">
        <v>7</v>
      </c>
      <c r="E126" s="3">
        <v>7.15</v>
      </c>
      <c r="F126" s="3">
        <v>13.0</v>
      </c>
      <c r="G126" s="3">
        <v>55.0</v>
      </c>
    </row>
    <row r="127">
      <c r="A127" s="2">
        <v>43983.0</v>
      </c>
      <c r="B127" s="3">
        <v>2020.0</v>
      </c>
      <c r="C127" s="3">
        <v>6.0</v>
      </c>
      <c r="D127" s="3" t="s">
        <v>7</v>
      </c>
      <c r="E127" s="3">
        <v>8.28</v>
      </c>
      <c r="F127" s="3">
        <v>15.06</v>
      </c>
      <c r="G127" s="3">
        <v>55.0</v>
      </c>
    </row>
    <row r="128">
      <c r="A128" s="2">
        <v>44013.0</v>
      </c>
      <c r="B128" s="3">
        <v>2020.0</v>
      </c>
      <c r="C128" s="3">
        <v>7.0</v>
      </c>
      <c r="D128" s="3" t="s">
        <v>7</v>
      </c>
      <c r="E128" s="3">
        <v>55.13</v>
      </c>
      <c r="F128" s="3">
        <v>100.24</v>
      </c>
      <c r="G128" s="3">
        <v>55.0</v>
      </c>
    </row>
    <row r="129">
      <c r="A129" s="2">
        <v>44044.0</v>
      </c>
      <c r="B129" s="3">
        <v>2020.0</v>
      </c>
      <c r="C129" s="3">
        <v>8.0</v>
      </c>
      <c r="D129" s="3" t="s">
        <v>7</v>
      </c>
      <c r="E129" s="3">
        <v>20.6</v>
      </c>
      <c r="F129" s="3">
        <v>37.45</v>
      </c>
      <c r="G129" s="3">
        <v>55.0</v>
      </c>
    </row>
    <row r="130">
      <c r="A130" s="2">
        <v>44075.0</v>
      </c>
      <c r="B130" s="3">
        <v>2020.0</v>
      </c>
      <c r="C130" s="3">
        <v>9.0</v>
      </c>
      <c r="D130" s="3" t="s">
        <v>7</v>
      </c>
      <c r="E130" s="3">
        <v>21.56</v>
      </c>
      <c r="F130" s="3">
        <v>39.19</v>
      </c>
      <c r="G130" s="3">
        <v>55.0</v>
      </c>
    </row>
    <row r="131">
      <c r="A131" s="4">
        <v>44105.0</v>
      </c>
      <c r="B131" s="3">
        <v>2020.0</v>
      </c>
      <c r="C131" s="3">
        <v>10.0</v>
      </c>
      <c r="D131" s="3" t="s">
        <v>7</v>
      </c>
      <c r="E131" s="3">
        <v>21.5</v>
      </c>
      <c r="F131" s="3">
        <v>39.09</v>
      </c>
      <c r="G131" s="3">
        <v>55.0</v>
      </c>
    </row>
    <row r="132">
      <c r="A132" s="4">
        <v>44136.0</v>
      </c>
      <c r="B132" s="3">
        <v>2020.0</v>
      </c>
      <c r="C132" s="3">
        <v>11.0</v>
      </c>
      <c r="D132" s="3" t="s">
        <v>7</v>
      </c>
      <c r="E132" s="3">
        <v>19.67</v>
      </c>
      <c r="F132" s="3">
        <v>35.76</v>
      </c>
      <c r="G132" s="3">
        <v>55.0</v>
      </c>
    </row>
    <row r="133">
      <c r="A133" s="4">
        <v>44166.0</v>
      </c>
      <c r="B133" s="3">
        <v>2020.0</v>
      </c>
      <c r="C133" s="3">
        <v>12.0</v>
      </c>
      <c r="D133" s="3" t="s">
        <v>7</v>
      </c>
      <c r="E133" s="3">
        <v>18.74</v>
      </c>
      <c r="F133" s="3">
        <v>34.07</v>
      </c>
      <c r="G133" s="3">
        <v>55.0</v>
      </c>
    </row>
    <row r="134">
      <c r="A134" s="2">
        <v>44197.0</v>
      </c>
      <c r="B134" s="3">
        <v>2021.0</v>
      </c>
      <c r="C134" s="3">
        <v>1.0</v>
      </c>
      <c r="D134" s="3" t="s">
        <v>7</v>
      </c>
      <c r="E134" s="3">
        <v>53.64</v>
      </c>
      <c r="F134" s="3">
        <v>62.8</v>
      </c>
      <c r="G134" s="3">
        <v>85.4</v>
      </c>
    </row>
    <row r="135">
      <c r="A135" s="2">
        <v>44228.0</v>
      </c>
      <c r="B135" s="3">
        <v>2021.0</v>
      </c>
      <c r="C135" s="3">
        <v>2.0</v>
      </c>
      <c r="D135" s="3" t="s">
        <v>7</v>
      </c>
      <c r="E135" s="3">
        <v>25.44</v>
      </c>
      <c r="F135" s="3">
        <v>31.82</v>
      </c>
      <c r="G135" s="3">
        <v>79.9</v>
      </c>
    </row>
    <row r="136">
      <c r="A136" s="2">
        <v>44256.0</v>
      </c>
      <c r="B136" s="3">
        <v>2021.0</v>
      </c>
      <c r="C136" s="3">
        <v>3.0</v>
      </c>
      <c r="D136" s="3" t="s">
        <v>7</v>
      </c>
      <c r="E136" s="3">
        <v>25.01</v>
      </c>
      <c r="F136" s="3">
        <v>31.41</v>
      </c>
      <c r="G136" s="3">
        <v>79.6</v>
      </c>
    </row>
    <row r="137">
      <c r="A137" s="2">
        <v>44287.0</v>
      </c>
      <c r="B137" s="3">
        <v>2021.0</v>
      </c>
      <c r="C137" s="3">
        <v>4.0</v>
      </c>
      <c r="D137" s="3" t="s">
        <v>7</v>
      </c>
      <c r="E137" s="3">
        <v>26.58</v>
      </c>
      <c r="F137" s="3">
        <v>32.93</v>
      </c>
      <c r="G137" s="3">
        <v>80.7</v>
      </c>
    </row>
    <row r="138">
      <c r="A138" s="2">
        <v>44317.0</v>
      </c>
      <c r="B138" s="3">
        <v>2021.0</v>
      </c>
      <c r="C138" s="3">
        <v>5.0</v>
      </c>
      <c r="D138" s="3" t="s">
        <v>7</v>
      </c>
      <c r="E138" s="3">
        <v>29.21</v>
      </c>
      <c r="F138" s="3">
        <v>36.56</v>
      </c>
      <c r="G138" s="3">
        <v>79.9</v>
      </c>
    </row>
    <row r="139">
      <c r="A139" s="2">
        <v>44348.0</v>
      </c>
      <c r="B139" s="3">
        <v>2021.0</v>
      </c>
      <c r="C139" s="3">
        <v>6.0</v>
      </c>
      <c r="D139" s="3" t="s">
        <v>7</v>
      </c>
      <c r="E139" s="3">
        <v>33.05</v>
      </c>
      <c r="F139" s="3">
        <v>41.54</v>
      </c>
      <c r="G139" s="3">
        <v>79.6</v>
      </c>
    </row>
    <row r="140">
      <c r="A140" s="2">
        <v>44378.0</v>
      </c>
      <c r="B140" s="3">
        <v>2021.0</v>
      </c>
      <c r="C140" s="3">
        <v>7.0</v>
      </c>
      <c r="D140" s="3" t="s">
        <v>7</v>
      </c>
      <c r="E140" s="3">
        <v>81.41</v>
      </c>
      <c r="F140" s="3">
        <v>101.55</v>
      </c>
      <c r="G140" s="3">
        <v>80.2</v>
      </c>
    </row>
    <row r="141">
      <c r="A141" s="2">
        <v>44409.0</v>
      </c>
      <c r="B141" s="3">
        <v>2021.0</v>
      </c>
      <c r="C141" s="3">
        <v>8.0</v>
      </c>
      <c r="D141" s="3" t="s">
        <v>7</v>
      </c>
      <c r="E141" s="3">
        <v>58.45</v>
      </c>
      <c r="F141" s="3">
        <v>72.08</v>
      </c>
      <c r="G141" s="3">
        <v>81.1</v>
      </c>
    </row>
    <row r="142">
      <c r="A142" s="2">
        <v>44440.0</v>
      </c>
      <c r="B142" s="3">
        <v>2021.0</v>
      </c>
      <c r="C142" s="3">
        <v>9.0</v>
      </c>
      <c r="D142" s="3" t="s">
        <v>7</v>
      </c>
      <c r="E142" s="3">
        <v>54.1</v>
      </c>
      <c r="F142" s="3">
        <v>68.13</v>
      </c>
      <c r="G142" s="3">
        <v>79.4</v>
      </c>
    </row>
    <row r="143">
      <c r="A143" s="4">
        <v>44470.0</v>
      </c>
      <c r="B143" s="3">
        <v>2021.0</v>
      </c>
      <c r="C143" s="3">
        <v>10.0</v>
      </c>
      <c r="D143" s="3" t="s">
        <v>7</v>
      </c>
      <c r="E143" s="3">
        <v>55.25</v>
      </c>
      <c r="F143" s="3">
        <v>65.59</v>
      </c>
      <c r="G143" s="3">
        <v>84.2</v>
      </c>
    </row>
    <row r="144">
      <c r="A144" s="4">
        <v>44501.0</v>
      </c>
      <c r="B144" s="3">
        <v>2021.0</v>
      </c>
      <c r="C144" s="3">
        <v>11.0</v>
      </c>
      <c r="D144" s="3" t="s">
        <v>7</v>
      </c>
      <c r="E144" s="3">
        <v>50.33</v>
      </c>
      <c r="F144" s="3">
        <v>63.47</v>
      </c>
      <c r="G144" s="3">
        <v>79.3</v>
      </c>
    </row>
    <row r="145">
      <c r="A145" s="4">
        <v>44531.0</v>
      </c>
      <c r="B145" s="3">
        <v>2021.0</v>
      </c>
      <c r="C145" s="3">
        <v>12.0</v>
      </c>
      <c r="D145" s="3" t="s">
        <v>7</v>
      </c>
      <c r="E145" s="3">
        <v>47.42</v>
      </c>
      <c r="F145" s="3">
        <v>59.46</v>
      </c>
      <c r="G145" s="3">
        <v>79.8</v>
      </c>
    </row>
    <row r="146">
      <c r="A146" s="2">
        <v>44562.0</v>
      </c>
      <c r="B146" s="3">
        <v>2022.0</v>
      </c>
      <c r="C146" s="3">
        <v>1.0</v>
      </c>
      <c r="D146" s="3" t="s">
        <v>7</v>
      </c>
      <c r="E146" s="3">
        <v>72.73</v>
      </c>
      <c r="F146" s="3">
        <v>86.98</v>
      </c>
      <c r="G146" s="3">
        <v>83.6</v>
      </c>
    </row>
    <row r="147">
      <c r="A147" s="2">
        <v>44593.0</v>
      </c>
      <c r="B147" s="3">
        <v>2022.0</v>
      </c>
      <c r="C147" s="3">
        <v>2.0</v>
      </c>
      <c r="D147" s="3" t="s">
        <v>7</v>
      </c>
      <c r="E147" s="3">
        <v>68.76</v>
      </c>
      <c r="F147" s="3">
        <v>89.16</v>
      </c>
      <c r="G147" s="3">
        <v>77.1</v>
      </c>
    </row>
    <row r="148">
      <c r="A148" s="2">
        <v>44621.0</v>
      </c>
      <c r="B148" s="3">
        <v>2022.0</v>
      </c>
      <c r="C148" s="3">
        <v>3.0</v>
      </c>
      <c r="D148" s="3" t="s">
        <v>7</v>
      </c>
      <c r="E148" s="3">
        <v>68.71</v>
      </c>
      <c r="F148" s="3">
        <v>82.41</v>
      </c>
      <c r="G148" s="3">
        <v>83.4</v>
      </c>
    </row>
    <row r="149">
      <c r="A149" s="2">
        <v>44652.0</v>
      </c>
      <c r="B149" s="3">
        <v>2022.0</v>
      </c>
      <c r="C149" s="3">
        <v>4.0</v>
      </c>
      <c r="D149" s="3" t="s">
        <v>7</v>
      </c>
      <c r="E149" s="3">
        <v>78.66</v>
      </c>
      <c r="F149" s="3">
        <v>93.4</v>
      </c>
      <c r="G149" s="3">
        <v>84.2</v>
      </c>
    </row>
    <row r="150">
      <c r="A150" s="2">
        <v>44682.0</v>
      </c>
      <c r="B150" s="3">
        <v>2022.0</v>
      </c>
      <c r="C150" s="3">
        <v>5.0</v>
      </c>
      <c r="D150" s="3" t="s">
        <v>7</v>
      </c>
      <c r="E150" s="3">
        <v>78.81</v>
      </c>
      <c r="F150" s="3">
        <v>95.41</v>
      </c>
      <c r="G150" s="3">
        <v>82.6</v>
      </c>
    </row>
    <row r="151">
      <c r="A151" s="2">
        <v>44713.0</v>
      </c>
      <c r="B151" s="3">
        <v>2022.0</v>
      </c>
      <c r="C151" s="3">
        <v>6.0</v>
      </c>
      <c r="D151" s="3" t="s">
        <v>7</v>
      </c>
      <c r="E151" s="3">
        <v>92.35</v>
      </c>
      <c r="F151" s="3">
        <v>117.37</v>
      </c>
      <c r="G151" s="3">
        <v>78.7</v>
      </c>
    </row>
    <row r="152">
      <c r="A152" s="2">
        <v>44743.0</v>
      </c>
      <c r="B152" s="3">
        <v>2022.0</v>
      </c>
      <c r="C152" s="3">
        <v>7.0</v>
      </c>
      <c r="D152" s="3" t="s">
        <v>7</v>
      </c>
      <c r="E152" s="3">
        <v>94.89</v>
      </c>
      <c r="F152" s="3">
        <v>114.95</v>
      </c>
      <c r="G152" s="3">
        <v>82.5</v>
      </c>
    </row>
    <row r="153">
      <c r="A153" s="2">
        <v>44774.0</v>
      </c>
      <c r="B153" s="3">
        <v>2022.0</v>
      </c>
      <c r="C153" s="3">
        <v>8.0</v>
      </c>
      <c r="D153" s="3" t="s">
        <v>7</v>
      </c>
      <c r="E153" s="3">
        <v>96.49</v>
      </c>
      <c r="F153" s="3">
        <v>123.24</v>
      </c>
      <c r="G153" s="3">
        <v>78.3</v>
      </c>
    </row>
    <row r="154">
      <c r="A154" s="2">
        <v>44805.0</v>
      </c>
      <c r="B154" s="3">
        <v>2022.0</v>
      </c>
      <c r="C154" s="3">
        <v>9.0</v>
      </c>
      <c r="D154" s="3" t="s">
        <v>7</v>
      </c>
      <c r="E154" s="3">
        <v>95.48</v>
      </c>
      <c r="F154" s="3">
        <v>117.38</v>
      </c>
      <c r="G154" s="3">
        <v>81.3</v>
      </c>
    </row>
    <row r="155">
      <c r="A155" s="4">
        <v>44835.0</v>
      </c>
      <c r="B155" s="3">
        <v>2022.0</v>
      </c>
      <c r="C155" s="3">
        <v>10.0</v>
      </c>
      <c r="D155" s="3" t="s">
        <v>7</v>
      </c>
      <c r="E155" s="3">
        <v>92.04</v>
      </c>
      <c r="F155" s="3">
        <v>113.81</v>
      </c>
      <c r="G155" s="3">
        <v>80.9</v>
      </c>
    </row>
    <row r="156">
      <c r="A156" s="4">
        <v>44866.0</v>
      </c>
      <c r="B156" s="3">
        <v>2022.0</v>
      </c>
      <c r="C156" s="3">
        <v>11.0</v>
      </c>
      <c r="D156" s="3" t="s">
        <v>7</v>
      </c>
      <c r="E156" s="3">
        <v>85.52</v>
      </c>
      <c r="F156" s="3">
        <v>104.4</v>
      </c>
      <c r="G156" s="3">
        <v>81.9</v>
      </c>
    </row>
    <row r="157">
      <c r="A157" s="4">
        <v>44896.0</v>
      </c>
      <c r="B157" s="3">
        <v>2022.0</v>
      </c>
      <c r="C157" s="3">
        <v>12.0</v>
      </c>
      <c r="D157" s="3" t="s">
        <v>7</v>
      </c>
      <c r="E157" s="3">
        <v>81.86</v>
      </c>
      <c r="F157" s="3">
        <v>100.58</v>
      </c>
      <c r="G157" s="3">
        <v>81.4</v>
      </c>
    </row>
    <row r="158">
      <c r="A158" s="2">
        <v>44927.0</v>
      </c>
      <c r="B158" s="3">
        <v>2023.0</v>
      </c>
      <c r="C158" s="3">
        <v>1.0</v>
      </c>
      <c r="D158" s="3" t="s">
        <v>7</v>
      </c>
      <c r="E158" s="3">
        <v>75.63</v>
      </c>
      <c r="F158" s="3">
        <v>92.03</v>
      </c>
      <c r="G158" s="3">
        <v>82.2</v>
      </c>
    </row>
    <row r="159">
      <c r="A159" s="2">
        <v>44958.0</v>
      </c>
      <c r="B159" s="3">
        <v>2023.0</v>
      </c>
      <c r="C159" s="3">
        <v>2.0</v>
      </c>
      <c r="D159" s="3" t="s">
        <v>7</v>
      </c>
      <c r="E159" s="3">
        <v>71.15</v>
      </c>
      <c r="F159" s="3">
        <v>85.77</v>
      </c>
      <c r="G159" s="3">
        <v>83.0</v>
      </c>
    </row>
    <row r="160">
      <c r="A160" s="2">
        <v>44986.0</v>
      </c>
      <c r="B160" s="3">
        <v>2023.0</v>
      </c>
      <c r="C160" s="3">
        <v>3.0</v>
      </c>
      <c r="D160" s="3" t="s">
        <v>7</v>
      </c>
      <c r="E160" s="3">
        <v>77.73</v>
      </c>
      <c r="F160" s="3">
        <v>94.7</v>
      </c>
      <c r="G160" s="3">
        <v>82.1</v>
      </c>
    </row>
    <row r="161">
      <c r="A161" s="2">
        <v>45017.0</v>
      </c>
      <c r="B161" s="3">
        <v>2023.0</v>
      </c>
      <c r="C161" s="3">
        <v>4.0</v>
      </c>
      <c r="D161" s="3" t="s">
        <v>7</v>
      </c>
      <c r="E161" s="3">
        <v>85.68</v>
      </c>
      <c r="F161" s="3">
        <v>109.72</v>
      </c>
      <c r="G161" s="3">
        <v>78.1</v>
      </c>
    </row>
    <row r="162">
      <c r="A162" s="2">
        <v>45047.0</v>
      </c>
      <c r="B162" s="3">
        <v>2023.0</v>
      </c>
      <c r="C162" s="3">
        <v>5.0</v>
      </c>
      <c r="D162" s="3" t="s">
        <v>7</v>
      </c>
      <c r="E162" s="3">
        <v>85.45</v>
      </c>
      <c r="F162" s="3">
        <v>103.52</v>
      </c>
      <c r="G162" s="3">
        <v>82.5</v>
      </c>
    </row>
    <row r="163">
      <c r="A163" s="2">
        <v>45078.0</v>
      </c>
      <c r="B163" s="3">
        <v>2023.0</v>
      </c>
      <c r="C163" s="3">
        <v>6.0</v>
      </c>
      <c r="D163" s="3" t="s">
        <v>7</v>
      </c>
      <c r="E163" s="3">
        <v>98.16</v>
      </c>
      <c r="F163" s="3">
        <v>119.22</v>
      </c>
      <c r="G163" s="3">
        <v>82.3</v>
      </c>
    </row>
    <row r="164">
      <c r="A164" s="2">
        <v>45108.0</v>
      </c>
      <c r="B164" s="3">
        <v>2023.0</v>
      </c>
      <c r="C164" s="3">
        <v>7.0</v>
      </c>
      <c r="D164" s="3" t="s">
        <v>7</v>
      </c>
      <c r="E164" s="3">
        <v>102.52</v>
      </c>
      <c r="F164" s="3">
        <v>123.03</v>
      </c>
      <c r="G164" s="3">
        <v>83.3</v>
      </c>
    </row>
    <row r="165">
      <c r="A165" s="2">
        <v>45139.0</v>
      </c>
      <c r="B165" s="3">
        <v>2023.0</v>
      </c>
      <c r="C165" s="3">
        <v>8.0</v>
      </c>
      <c r="D165" s="3" t="s">
        <v>7</v>
      </c>
      <c r="E165" s="3">
        <v>109.59</v>
      </c>
      <c r="F165" s="3">
        <v>132.09</v>
      </c>
      <c r="G165" s="3">
        <v>83.0</v>
      </c>
    </row>
    <row r="166">
      <c r="A166" s="2">
        <v>45170.0</v>
      </c>
      <c r="B166" s="3">
        <v>2023.0</v>
      </c>
      <c r="C166" s="3">
        <v>9.0</v>
      </c>
      <c r="D166" s="3" t="s">
        <v>7</v>
      </c>
      <c r="E166" s="3">
        <v>104.64</v>
      </c>
      <c r="F166" s="3">
        <v>134.52</v>
      </c>
      <c r="G166" s="3">
        <v>77.8</v>
      </c>
    </row>
    <row r="167">
      <c r="A167" s="4">
        <v>45200.0</v>
      </c>
      <c r="B167" s="3">
        <v>2023.0</v>
      </c>
      <c r="C167" s="3">
        <v>10.0</v>
      </c>
      <c r="D167" s="3" t="s">
        <v>7</v>
      </c>
      <c r="E167" s="3">
        <v>103.41</v>
      </c>
      <c r="F167" s="3">
        <v>122.46</v>
      </c>
      <c r="G167" s="3">
        <v>84.4</v>
      </c>
    </row>
    <row r="168">
      <c r="A168" s="4">
        <v>45231.0</v>
      </c>
      <c r="B168" s="3">
        <v>2023.0</v>
      </c>
      <c r="C168" s="3">
        <v>11.0</v>
      </c>
      <c r="D168" s="3" t="s">
        <v>7</v>
      </c>
      <c r="E168" s="3">
        <v>96.52</v>
      </c>
      <c r="F168" s="3">
        <v>120.28</v>
      </c>
      <c r="G168" s="3">
        <v>80.2</v>
      </c>
    </row>
    <row r="169">
      <c r="A169" s="4">
        <v>45261.0</v>
      </c>
      <c r="B169" s="3">
        <v>2023.0</v>
      </c>
      <c r="C169" s="3">
        <v>12.0</v>
      </c>
      <c r="D169" s="3" t="s">
        <v>7</v>
      </c>
      <c r="E169" s="3">
        <v>89.98</v>
      </c>
      <c r="F169" s="3">
        <v>107.48</v>
      </c>
      <c r="G169" s="3">
        <v>83.7</v>
      </c>
    </row>
    <row r="170">
      <c r="A170" s="2">
        <v>45292.0</v>
      </c>
      <c r="B170" s="3">
        <v>2024.0</v>
      </c>
      <c r="C170" s="3">
        <v>1.0</v>
      </c>
      <c r="D170" s="3" t="s">
        <v>7</v>
      </c>
      <c r="E170" s="3">
        <v>87.53</v>
      </c>
      <c r="F170" s="3">
        <v>109.07</v>
      </c>
      <c r="G170" s="3">
        <v>80.2</v>
      </c>
    </row>
    <row r="171">
      <c r="A171" s="2">
        <v>45323.0</v>
      </c>
      <c r="B171" s="3">
        <v>2024.0</v>
      </c>
      <c r="C171" s="3">
        <v>2.0</v>
      </c>
      <c r="D171" s="3" t="s">
        <v>7</v>
      </c>
      <c r="E171" s="3">
        <v>81.26</v>
      </c>
      <c r="F171" s="3">
        <v>97.32</v>
      </c>
      <c r="G171" s="3">
        <v>83.5</v>
      </c>
    </row>
    <row r="172">
      <c r="A172" s="2">
        <v>45352.0</v>
      </c>
      <c r="B172" s="3">
        <v>2024.0</v>
      </c>
      <c r="C172" s="3">
        <v>3.0</v>
      </c>
      <c r="D172" s="3" t="s">
        <v>7</v>
      </c>
      <c r="E172" s="3">
        <v>84.11</v>
      </c>
      <c r="F172" s="3">
        <v>105.45</v>
      </c>
      <c r="G172" s="3">
        <v>79.8</v>
      </c>
    </row>
    <row r="173">
      <c r="A173" s="2">
        <v>45383.0</v>
      </c>
      <c r="B173" s="3">
        <v>2024.0</v>
      </c>
      <c r="C173" s="3">
        <v>4.0</v>
      </c>
      <c r="D173" s="3" t="s">
        <v>7</v>
      </c>
      <c r="E173" s="3">
        <v>90.61</v>
      </c>
      <c r="F173" s="3">
        <v>108.97</v>
      </c>
      <c r="G173" s="3">
        <v>83.2</v>
      </c>
    </row>
    <row r="174">
      <c r="A174" s="2">
        <v>45413.0</v>
      </c>
      <c r="B174" s="3">
        <v>2024.0</v>
      </c>
      <c r="C174" s="3">
        <v>5.0</v>
      </c>
      <c r="D174" s="3" t="s">
        <v>7</v>
      </c>
      <c r="E174" s="3">
        <v>97.26</v>
      </c>
      <c r="F174" s="3">
        <v>117.97</v>
      </c>
      <c r="G174" s="3">
        <v>82.4</v>
      </c>
    </row>
    <row r="175">
      <c r="A175" s="2">
        <v>45444.0</v>
      </c>
      <c r="B175" s="3">
        <v>2024.0</v>
      </c>
      <c r="C175" s="3">
        <v>6.0</v>
      </c>
      <c r="D175" s="3" t="s">
        <v>7</v>
      </c>
      <c r="E175" s="3">
        <v>103.74</v>
      </c>
      <c r="F175" s="3">
        <v>122.1</v>
      </c>
      <c r="G175" s="3">
        <v>85.0</v>
      </c>
    </row>
    <row r="176">
      <c r="A176" s="2">
        <v>45474.0</v>
      </c>
      <c r="B176" s="3">
        <v>2024.0</v>
      </c>
      <c r="C176" s="3">
        <v>7.0</v>
      </c>
      <c r="D176" s="3" t="s">
        <v>7</v>
      </c>
      <c r="E176" s="3">
        <v>107.23</v>
      </c>
      <c r="F176" s="3">
        <v>132.67</v>
      </c>
      <c r="G176" s="3">
        <v>80.8</v>
      </c>
    </row>
    <row r="177">
      <c r="A177" s="2">
        <v>45505.0</v>
      </c>
      <c r="B177" s="3">
        <v>2024.0</v>
      </c>
      <c r="C177" s="3">
        <v>8.0</v>
      </c>
      <c r="D177" s="3" t="s">
        <v>7</v>
      </c>
      <c r="E177" s="3">
        <v>112.45</v>
      </c>
      <c r="F177" s="3">
        <v>134.26</v>
      </c>
      <c r="G177" s="3">
        <v>83.8</v>
      </c>
    </row>
    <row r="178">
      <c r="A178" s="2">
        <v>45536.0</v>
      </c>
      <c r="B178" s="3">
        <v>2024.0</v>
      </c>
      <c r="C178" s="3">
        <v>9.0</v>
      </c>
      <c r="D178" s="3" t="s">
        <v>7</v>
      </c>
      <c r="E178" s="3">
        <v>105.87</v>
      </c>
      <c r="F178" s="3">
        <v>133.37</v>
      </c>
      <c r="G178" s="3">
        <v>79.4</v>
      </c>
    </row>
    <row r="179">
      <c r="A179" s="4">
        <v>45566.0</v>
      </c>
      <c r="B179" s="3">
        <v>2024.0</v>
      </c>
      <c r="C179" s="3">
        <v>10.0</v>
      </c>
      <c r="D179" s="3" t="s">
        <v>7</v>
      </c>
      <c r="E179" s="3">
        <v>99.36</v>
      </c>
      <c r="F179" s="3">
        <v>121.07</v>
      </c>
      <c r="G179" s="3">
        <v>82.1</v>
      </c>
    </row>
    <row r="180">
      <c r="A180" s="4">
        <v>45597.0</v>
      </c>
      <c r="B180" s="3">
        <v>2024.0</v>
      </c>
      <c r="C180" s="3">
        <v>11.0</v>
      </c>
      <c r="D180" s="3" t="s">
        <v>7</v>
      </c>
      <c r="E180" s="3">
        <v>95.25</v>
      </c>
      <c r="F180" s="3">
        <v>117.26</v>
      </c>
      <c r="G180" s="3">
        <v>81.2</v>
      </c>
    </row>
    <row r="181">
      <c r="A181" s="4">
        <v>45627.0</v>
      </c>
      <c r="B181" s="3">
        <v>2024.0</v>
      </c>
      <c r="C181" s="3">
        <v>12.0</v>
      </c>
      <c r="D181" s="3" t="s">
        <v>7</v>
      </c>
      <c r="E181" s="3">
        <v>93.17</v>
      </c>
      <c r="F181" s="3">
        <v>115.43</v>
      </c>
      <c r="G181" s="3">
        <v>80.7</v>
      </c>
    </row>
    <row r="182">
      <c r="A182" s="2">
        <v>45658.0</v>
      </c>
      <c r="B182" s="3">
        <v>2025.0</v>
      </c>
      <c r="C182" s="3">
        <v>1.0</v>
      </c>
      <c r="D182" s="3" t="s">
        <v>7</v>
      </c>
      <c r="E182" s="3">
        <v>86.74</v>
      </c>
      <c r="F182" s="3">
        <v>106.56</v>
      </c>
      <c r="G182" s="3">
        <v>81.4</v>
      </c>
    </row>
    <row r="183">
      <c r="A183" s="2">
        <v>45689.0</v>
      </c>
      <c r="B183" s="3">
        <v>2025.0</v>
      </c>
      <c r="C183" s="3">
        <v>2.0</v>
      </c>
      <c r="D183" s="3" t="s">
        <v>7</v>
      </c>
      <c r="E183" s="3">
        <v>86.08</v>
      </c>
      <c r="F183" s="3">
        <v>103.77</v>
      </c>
      <c r="G183" s="3">
        <v>83.0</v>
      </c>
    </row>
    <row r="184">
      <c r="A184" s="2">
        <v>45717.0</v>
      </c>
      <c r="B184" s="3">
        <v>2025.0</v>
      </c>
      <c r="C184" s="3">
        <v>3.0</v>
      </c>
      <c r="D184" s="3" t="s">
        <v>7</v>
      </c>
      <c r="E184" s="3">
        <v>84.8</v>
      </c>
      <c r="F184" s="3">
        <v>103.84</v>
      </c>
      <c r="G184" s="3">
        <v>81.7</v>
      </c>
    </row>
    <row r="185">
      <c r="A185" s="2">
        <v>45748.0</v>
      </c>
      <c r="B185" s="3">
        <v>2025.0</v>
      </c>
      <c r="C185" s="3">
        <v>4.0</v>
      </c>
      <c r="D185" s="3" t="s">
        <v>7</v>
      </c>
      <c r="E185" s="3">
        <v>95.2</v>
      </c>
      <c r="F185" s="3">
        <v>115.0</v>
      </c>
      <c r="G185" s="3">
        <v>82.8</v>
      </c>
    </row>
    <row r="186">
      <c r="A186" s="2">
        <v>45778.0</v>
      </c>
      <c r="B186" s="3">
        <v>2025.0</v>
      </c>
      <c r="C186" s="3">
        <v>5.0</v>
      </c>
      <c r="D186" s="3" t="s">
        <v>7</v>
      </c>
      <c r="E186" s="3">
        <v>95.9</v>
      </c>
      <c r="F186" s="3">
        <v>115.11</v>
      </c>
      <c r="G186" s="3">
        <v>83.3</v>
      </c>
    </row>
    <row r="187">
      <c r="A187" s="2">
        <v>45809.0</v>
      </c>
      <c r="B187" s="3">
        <v>2025.0</v>
      </c>
      <c r="C187" s="3">
        <v>6.0</v>
      </c>
      <c r="D187" s="3" t="s">
        <v>7</v>
      </c>
      <c r="E187" s="3">
        <v>104.32</v>
      </c>
      <c r="F187" s="3">
        <v>122.98</v>
      </c>
      <c r="G187" s="3">
        <v>84.8</v>
      </c>
    </row>
    <row r="188">
      <c r="A188" s="2">
        <v>45839.0</v>
      </c>
      <c r="B188" s="3">
        <v>2025.0</v>
      </c>
      <c r="C188" s="3">
        <v>7.0</v>
      </c>
      <c r="D188" s="3" t="s">
        <v>7</v>
      </c>
      <c r="E188" s="3">
        <v>117.1</v>
      </c>
      <c r="F188" s="3">
        <v>141.8</v>
      </c>
      <c r="G188" s="3">
        <v>82.6</v>
      </c>
    </row>
    <row r="189">
      <c r="A189" s="2">
        <v>45870.0</v>
      </c>
      <c r="B189" s="3">
        <v>2025.0</v>
      </c>
      <c r="C189" s="3">
        <v>8.0</v>
      </c>
      <c r="D189" s="3" t="s">
        <v>7</v>
      </c>
      <c r="E189" s="3">
        <v>116.41</v>
      </c>
      <c r="F189" s="3">
        <v>142.69</v>
      </c>
      <c r="G189" s="3">
        <v>81.6</v>
      </c>
    </row>
    <row r="190">
      <c r="A190" s="2">
        <v>45901.0</v>
      </c>
      <c r="B190" s="3">
        <v>2025.0</v>
      </c>
      <c r="C190" s="3">
        <v>9.0</v>
      </c>
      <c r="D190" s="3" t="s">
        <v>7</v>
      </c>
      <c r="E190" s="3">
        <v>116.47</v>
      </c>
      <c r="F190" s="3">
        <v>143.33</v>
      </c>
      <c r="G190" s="3">
        <v>81.3</v>
      </c>
    </row>
    <row r="191">
      <c r="A191" s="4">
        <v>45931.0</v>
      </c>
      <c r="B191" s="3">
        <v>2025.0</v>
      </c>
      <c r="C191" s="3">
        <v>10.0</v>
      </c>
      <c r="D191" s="3" t="s">
        <v>7</v>
      </c>
      <c r="E191" s="3">
        <v>109.62</v>
      </c>
      <c r="F191" s="3">
        <v>130.89</v>
      </c>
      <c r="G191" s="3">
        <v>83.7</v>
      </c>
    </row>
    <row r="192">
      <c r="A192" s="4">
        <v>45962.0</v>
      </c>
      <c r="B192" s="3">
        <v>2025.0</v>
      </c>
      <c r="C192" s="3">
        <v>11.0</v>
      </c>
      <c r="D192" s="3" t="s">
        <v>7</v>
      </c>
      <c r="E192" s="3">
        <v>99.8</v>
      </c>
      <c r="F192" s="3">
        <v>123.57</v>
      </c>
      <c r="G192" s="3">
        <v>80.8</v>
      </c>
    </row>
    <row r="193">
      <c r="A193" s="4">
        <v>45992.0</v>
      </c>
      <c r="B193" s="3">
        <v>2025.0</v>
      </c>
      <c r="C193" s="3">
        <v>12.0</v>
      </c>
      <c r="D193" s="3" t="s">
        <v>7</v>
      </c>
      <c r="E193" s="3">
        <v>90.81</v>
      </c>
      <c r="F193" s="3">
        <v>113.69</v>
      </c>
      <c r="G193" s="3">
        <v>79.9</v>
      </c>
    </row>
    <row r="194">
      <c r="A194" s="2">
        <v>46023.0</v>
      </c>
      <c r="B194" s="3">
        <v>2026.0</v>
      </c>
      <c r="C194" s="3">
        <v>1.0</v>
      </c>
      <c r="D194" s="3" t="s">
        <v>7</v>
      </c>
      <c r="E194" s="3">
        <v>84.01</v>
      </c>
      <c r="F194" s="3">
        <v>100.66</v>
      </c>
      <c r="G194" s="3">
        <v>83.5</v>
      </c>
    </row>
    <row r="195">
      <c r="A195" s="2">
        <v>46054.0</v>
      </c>
      <c r="B195" s="3">
        <v>2026.0</v>
      </c>
      <c r="C195" s="3">
        <v>2.0</v>
      </c>
      <c r="D195" s="3" t="s">
        <v>7</v>
      </c>
      <c r="E195" s="3">
        <v>91.53</v>
      </c>
      <c r="F195" s="3">
        <v>107.88</v>
      </c>
      <c r="G195" s="3">
        <v>84.9</v>
      </c>
    </row>
    <row r="196">
      <c r="A196" s="2">
        <v>46082.0</v>
      </c>
      <c r="B196" s="3">
        <v>2026.0</v>
      </c>
      <c r="C196" s="3">
        <v>3.0</v>
      </c>
      <c r="D196" s="3" t="s">
        <v>7</v>
      </c>
      <c r="E196" s="3">
        <v>84.52</v>
      </c>
      <c r="F196" s="3">
        <v>101.29</v>
      </c>
      <c r="G196" s="3">
        <v>83.4</v>
      </c>
    </row>
    <row r="197">
      <c r="A197" s="2">
        <v>46113.0</v>
      </c>
      <c r="B197" s="3">
        <v>2026.0</v>
      </c>
      <c r="C197" s="3">
        <v>4.0</v>
      </c>
      <c r="D197" s="3" t="s">
        <v>7</v>
      </c>
      <c r="E197" s="3">
        <v>98.46</v>
      </c>
      <c r="F197" s="3">
        <v>121.43</v>
      </c>
      <c r="G197" s="3">
        <v>81.1</v>
      </c>
    </row>
    <row r="198">
      <c r="A198" s="2">
        <v>40179.0</v>
      </c>
      <c r="B198" s="3">
        <v>2010.0</v>
      </c>
      <c r="C198" s="3">
        <v>1.0</v>
      </c>
      <c r="D198" s="3" t="s">
        <v>8</v>
      </c>
      <c r="E198" s="3">
        <v>68.07</v>
      </c>
      <c r="F198" s="3">
        <v>87.29</v>
      </c>
      <c r="G198" s="3">
        <v>78.0</v>
      </c>
    </row>
    <row r="199">
      <c r="A199" s="2">
        <v>40210.0</v>
      </c>
      <c r="B199" s="3">
        <v>2010.0</v>
      </c>
      <c r="C199" s="3">
        <v>2.0</v>
      </c>
      <c r="D199" s="3" t="s">
        <v>8</v>
      </c>
      <c r="E199" s="3">
        <v>67.15</v>
      </c>
      <c r="F199" s="3">
        <v>84.07</v>
      </c>
      <c r="G199" s="3">
        <v>79.9</v>
      </c>
    </row>
    <row r="200">
      <c r="A200" s="2">
        <v>40238.0</v>
      </c>
      <c r="B200" s="3">
        <v>2010.0</v>
      </c>
      <c r="C200" s="3">
        <v>3.0</v>
      </c>
      <c r="D200" s="3" t="s">
        <v>8</v>
      </c>
      <c r="E200" s="3">
        <v>68.92</v>
      </c>
      <c r="F200" s="3">
        <v>87.37</v>
      </c>
      <c r="G200" s="3">
        <v>78.9</v>
      </c>
    </row>
    <row r="201">
      <c r="A201" s="2">
        <v>40269.0</v>
      </c>
      <c r="B201" s="3">
        <v>2010.0</v>
      </c>
      <c r="C201" s="3">
        <v>4.0</v>
      </c>
      <c r="D201" s="3" t="s">
        <v>8</v>
      </c>
      <c r="E201" s="3">
        <v>74.37</v>
      </c>
      <c r="F201" s="3">
        <v>88.48</v>
      </c>
      <c r="G201" s="3">
        <v>84.0</v>
      </c>
    </row>
    <row r="202">
      <c r="A202" s="2">
        <v>40299.0</v>
      </c>
      <c r="B202" s="3">
        <v>2010.0</v>
      </c>
      <c r="C202" s="3">
        <v>5.0</v>
      </c>
      <c r="D202" s="3" t="s">
        <v>8</v>
      </c>
      <c r="E202" s="3">
        <v>77.62</v>
      </c>
      <c r="F202" s="3">
        <v>97.36</v>
      </c>
      <c r="G202" s="3">
        <v>79.7</v>
      </c>
    </row>
    <row r="203">
      <c r="A203" s="2">
        <v>40330.0</v>
      </c>
      <c r="B203" s="3">
        <v>2010.0</v>
      </c>
      <c r="C203" s="3">
        <v>6.0</v>
      </c>
      <c r="D203" s="3" t="s">
        <v>8</v>
      </c>
      <c r="E203" s="3">
        <v>80.45</v>
      </c>
      <c r="F203" s="3">
        <v>98.75</v>
      </c>
      <c r="G203" s="3">
        <v>81.5</v>
      </c>
    </row>
    <row r="204">
      <c r="A204" s="2">
        <v>40360.0</v>
      </c>
      <c r="B204" s="3">
        <v>2010.0</v>
      </c>
      <c r="C204" s="3">
        <v>7.0</v>
      </c>
      <c r="D204" s="3" t="s">
        <v>8</v>
      </c>
      <c r="E204" s="3">
        <v>89.05</v>
      </c>
      <c r="F204" s="3">
        <v>112.87</v>
      </c>
      <c r="G204" s="3">
        <v>78.9</v>
      </c>
    </row>
    <row r="205">
      <c r="A205" s="2">
        <v>40391.0</v>
      </c>
      <c r="B205" s="3">
        <v>2010.0</v>
      </c>
      <c r="C205" s="3">
        <v>8.0</v>
      </c>
      <c r="D205" s="3" t="s">
        <v>8</v>
      </c>
      <c r="E205" s="3">
        <v>93.92</v>
      </c>
      <c r="F205" s="3">
        <v>115.81</v>
      </c>
      <c r="G205" s="3">
        <v>81.1</v>
      </c>
    </row>
    <row r="206">
      <c r="A206" s="2">
        <v>40422.0</v>
      </c>
      <c r="B206" s="3">
        <v>2010.0</v>
      </c>
      <c r="C206" s="3">
        <v>9.0</v>
      </c>
      <c r="D206" s="3" t="s">
        <v>8</v>
      </c>
      <c r="E206" s="3">
        <v>88.54</v>
      </c>
      <c r="F206" s="3">
        <v>109.46</v>
      </c>
      <c r="G206" s="3">
        <v>80.9</v>
      </c>
    </row>
    <row r="207">
      <c r="A207" s="4">
        <v>40452.0</v>
      </c>
      <c r="B207" s="3">
        <v>2010.0</v>
      </c>
      <c r="C207" s="3">
        <v>10.0</v>
      </c>
      <c r="D207" s="3" t="s">
        <v>8</v>
      </c>
      <c r="E207" s="3">
        <v>90.25</v>
      </c>
      <c r="F207" s="3">
        <v>108.47</v>
      </c>
      <c r="G207" s="3">
        <v>83.2</v>
      </c>
    </row>
    <row r="208">
      <c r="A208" s="4">
        <v>40483.0</v>
      </c>
      <c r="B208" s="3">
        <v>2010.0</v>
      </c>
      <c r="C208" s="3">
        <v>11.0</v>
      </c>
      <c r="D208" s="3" t="s">
        <v>8</v>
      </c>
      <c r="E208" s="3">
        <v>81.35</v>
      </c>
      <c r="F208" s="3">
        <v>97.73</v>
      </c>
      <c r="G208" s="3">
        <v>83.2</v>
      </c>
    </row>
    <row r="209">
      <c r="A209" s="4">
        <v>40513.0</v>
      </c>
      <c r="B209" s="3">
        <v>2010.0</v>
      </c>
      <c r="C209" s="3">
        <v>12.0</v>
      </c>
      <c r="D209" s="3" t="s">
        <v>8</v>
      </c>
      <c r="E209" s="3">
        <v>73.28</v>
      </c>
      <c r="F209" s="3">
        <v>89.3</v>
      </c>
      <c r="G209" s="3">
        <v>82.1</v>
      </c>
    </row>
    <row r="210">
      <c r="A210" s="2">
        <v>40544.0</v>
      </c>
      <c r="B210" s="3">
        <v>2011.0</v>
      </c>
      <c r="C210" s="3">
        <v>1.0</v>
      </c>
      <c r="D210" s="3" t="s">
        <v>8</v>
      </c>
      <c r="E210" s="3">
        <v>72.01</v>
      </c>
      <c r="F210" s="3">
        <v>88.84</v>
      </c>
      <c r="G210" s="3">
        <v>81.1</v>
      </c>
    </row>
    <row r="211">
      <c r="A211" s="2">
        <v>40575.0</v>
      </c>
      <c r="B211" s="3">
        <v>2011.0</v>
      </c>
      <c r="C211" s="3">
        <v>2.0</v>
      </c>
      <c r="D211" s="3" t="s">
        <v>8</v>
      </c>
      <c r="E211" s="3">
        <v>71.28</v>
      </c>
      <c r="F211" s="3">
        <v>88.61</v>
      </c>
      <c r="G211" s="3">
        <v>80.4</v>
      </c>
    </row>
    <row r="212">
      <c r="A212" s="2">
        <v>40603.0</v>
      </c>
      <c r="B212" s="3">
        <v>2011.0</v>
      </c>
      <c r="C212" s="3">
        <v>3.0</v>
      </c>
      <c r="D212" s="3" t="s">
        <v>8</v>
      </c>
      <c r="E212" s="3">
        <v>73.45</v>
      </c>
      <c r="F212" s="3">
        <v>88.38</v>
      </c>
      <c r="G212" s="3">
        <v>83.1</v>
      </c>
    </row>
    <row r="213">
      <c r="A213" s="2">
        <v>40634.0</v>
      </c>
      <c r="B213" s="3">
        <v>2011.0</v>
      </c>
      <c r="C213" s="3">
        <v>4.0</v>
      </c>
      <c r="D213" s="3" t="s">
        <v>8</v>
      </c>
      <c r="E213" s="3">
        <v>70.77</v>
      </c>
      <c r="F213" s="3">
        <v>83.86</v>
      </c>
      <c r="G213" s="3">
        <v>84.4</v>
      </c>
    </row>
    <row r="214">
      <c r="A214" s="2">
        <v>40664.0</v>
      </c>
      <c r="B214" s="3">
        <v>2011.0</v>
      </c>
      <c r="C214" s="3">
        <v>5.0</v>
      </c>
      <c r="D214" s="3" t="s">
        <v>8</v>
      </c>
      <c r="E214" s="3">
        <v>76.54</v>
      </c>
      <c r="F214" s="3">
        <v>94.76</v>
      </c>
      <c r="G214" s="3">
        <v>80.8</v>
      </c>
    </row>
    <row r="215">
      <c r="A215" s="2">
        <v>40695.0</v>
      </c>
      <c r="B215" s="3">
        <v>2011.0</v>
      </c>
      <c r="C215" s="3">
        <v>6.0</v>
      </c>
      <c r="D215" s="3" t="s">
        <v>8</v>
      </c>
      <c r="E215" s="3">
        <v>93.38</v>
      </c>
      <c r="F215" s="3">
        <v>114.77</v>
      </c>
      <c r="G215" s="3">
        <v>81.4</v>
      </c>
    </row>
    <row r="216">
      <c r="A216" s="2">
        <v>40725.0</v>
      </c>
      <c r="B216" s="3">
        <v>2011.0</v>
      </c>
      <c r="C216" s="3">
        <v>7.0</v>
      </c>
      <c r="D216" s="3" t="s">
        <v>8</v>
      </c>
      <c r="E216" s="3">
        <v>91.48</v>
      </c>
      <c r="F216" s="3">
        <v>114.61</v>
      </c>
      <c r="G216" s="3">
        <v>79.8</v>
      </c>
    </row>
    <row r="217">
      <c r="A217" s="2">
        <v>40756.0</v>
      </c>
      <c r="B217" s="3">
        <v>2011.0</v>
      </c>
      <c r="C217" s="3">
        <v>8.0</v>
      </c>
      <c r="D217" s="3" t="s">
        <v>8</v>
      </c>
      <c r="E217" s="3">
        <v>100.77</v>
      </c>
      <c r="F217" s="3">
        <v>128.93</v>
      </c>
      <c r="G217" s="3">
        <v>78.2</v>
      </c>
    </row>
    <row r="218">
      <c r="A218" s="2">
        <v>40787.0</v>
      </c>
      <c r="B218" s="3">
        <v>2011.0</v>
      </c>
      <c r="C218" s="3">
        <v>9.0</v>
      </c>
      <c r="D218" s="3" t="s">
        <v>8</v>
      </c>
      <c r="E218" s="3">
        <v>99.74</v>
      </c>
      <c r="F218" s="3">
        <v>121.8</v>
      </c>
      <c r="G218" s="3">
        <v>81.9</v>
      </c>
    </row>
    <row r="219">
      <c r="A219" s="4">
        <v>40817.0</v>
      </c>
      <c r="B219" s="3">
        <v>2011.0</v>
      </c>
      <c r="C219" s="3">
        <v>10.0</v>
      </c>
      <c r="D219" s="3" t="s">
        <v>8</v>
      </c>
      <c r="E219" s="3">
        <v>88.89</v>
      </c>
      <c r="F219" s="3">
        <v>109.97</v>
      </c>
      <c r="G219" s="3">
        <v>80.8</v>
      </c>
    </row>
    <row r="220">
      <c r="A220" s="4">
        <v>40848.0</v>
      </c>
      <c r="B220" s="3">
        <v>2011.0</v>
      </c>
      <c r="C220" s="3">
        <v>11.0</v>
      </c>
      <c r="D220" s="3" t="s">
        <v>8</v>
      </c>
      <c r="E220" s="3">
        <v>83.48</v>
      </c>
      <c r="F220" s="3">
        <v>99.7</v>
      </c>
      <c r="G220" s="3">
        <v>83.7</v>
      </c>
    </row>
    <row r="221">
      <c r="A221" s="4">
        <v>40878.0</v>
      </c>
      <c r="B221" s="3">
        <v>2011.0</v>
      </c>
      <c r="C221" s="3">
        <v>12.0</v>
      </c>
      <c r="D221" s="3" t="s">
        <v>8</v>
      </c>
      <c r="E221" s="3">
        <v>81.73</v>
      </c>
      <c r="F221" s="3">
        <v>104.03</v>
      </c>
      <c r="G221" s="3">
        <v>78.6</v>
      </c>
    </row>
    <row r="222">
      <c r="A222" s="2">
        <v>40909.0</v>
      </c>
      <c r="B222" s="3">
        <v>2012.0</v>
      </c>
      <c r="C222" s="3">
        <v>1.0</v>
      </c>
      <c r="D222" s="3" t="s">
        <v>8</v>
      </c>
      <c r="E222" s="3">
        <v>74.62</v>
      </c>
      <c r="F222" s="3">
        <v>92.95</v>
      </c>
      <c r="G222" s="3">
        <v>80.3</v>
      </c>
    </row>
    <row r="223">
      <c r="A223" s="2">
        <v>40940.0</v>
      </c>
      <c r="B223" s="3">
        <v>2012.0</v>
      </c>
      <c r="C223" s="3">
        <v>2.0</v>
      </c>
      <c r="D223" s="3" t="s">
        <v>8</v>
      </c>
      <c r="E223" s="3">
        <v>77.02</v>
      </c>
      <c r="F223" s="3">
        <v>97.13</v>
      </c>
      <c r="G223" s="3">
        <v>79.3</v>
      </c>
    </row>
    <row r="224">
      <c r="A224" s="2">
        <v>40969.0</v>
      </c>
      <c r="B224" s="3">
        <v>2012.0</v>
      </c>
      <c r="C224" s="3">
        <v>3.0</v>
      </c>
      <c r="D224" s="3" t="s">
        <v>8</v>
      </c>
      <c r="E224" s="3">
        <v>79.92</v>
      </c>
      <c r="F224" s="3">
        <v>97.54</v>
      </c>
      <c r="G224" s="3">
        <v>81.9</v>
      </c>
    </row>
    <row r="225">
      <c r="A225" s="2">
        <v>41000.0</v>
      </c>
      <c r="B225" s="3">
        <v>2012.0</v>
      </c>
      <c r="C225" s="3">
        <v>4.0</v>
      </c>
      <c r="D225" s="3" t="s">
        <v>8</v>
      </c>
      <c r="E225" s="3">
        <v>78.52</v>
      </c>
      <c r="F225" s="3">
        <v>97.37</v>
      </c>
      <c r="G225" s="3">
        <v>80.6</v>
      </c>
    </row>
    <row r="226">
      <c r="A226" s="2">
        <v>41030.0</v>
      </c>
      <c r="B226" s="3">
        <v>2012.0</v>
      </c>
      <c r="C226" s="3">
        <v>5.0</v>
      </c>
      <c r="D226" s="3" t="s">
        <v>8</v>
      </c>
      <c r="E226" s="3">
        <v>86.17</v>
      </c>
      <c r="F226" s="3">
        <v>108.46</v>
      </c>
      <c r="G226" s="3">
        <v>79.5</v>
      </c>
    </row>
    <row r="227">
      <c r="A227" s="2">
        <v>41061.0</v>
      </c>
      <c r="B227" s="3">
        <v>2012.0</v>
      </c>
      <c r="C227" s="3">
        <v>6.0</v>
      </c>
      <c r="D227" s="3" t="s">
        <v>8</v>
      </c>
      <c r="E227" s="3">
        <v>95.55</v>
      </c>
      <c r="F227" s="3">
        <v>120.12</v>
      </c>
      <c r="G227" s="3">
        <v>79.5</v>
      </c>
    </row>
    <row r="228">
      <c r="A228" s="2">
        <v>41091.0</v>
      </c>
      <c r="B228" s="3">
        <v>2012.0</v>
      </c>
      <c r="C228" s="3">
        <v>7.0</v>
      </c>
      <c r="D228" s="3" t="s">
        <v>8</v>
      </c>
      <c r="E228" s="3">
        <v>94.19</v>
      </c>
      <c r="F228" s="3">
        <v>115.94</v>
      </c>
      <c r="G228" s="3">
        <v>81.2</v>
      </c>
    </row>
    <row r="229">
      <c r="A229" s="2">
        <v>41122.0</v>
      </c>
      <c r="B229" s="3">
        <v>2012.0</v>
      </c>
      <c r="C229" s="3">
        <v>8.0</v>
      </c>
      <c r="D229" s="3" t="s">
        <v>8</v>
      </c>
      <c r="E229" s="3">
        <v>97.36</v>
      </c>
      <c r="F229" s="3">
        <v>120.95</v>
      </c>
      <c r="G229" s="3">
        <v>80.5</v>
      </c>
    </row>
    <row r="230">
      <c r="A230" s="2">
        <v>41153.0</v>
      </c>
      <c r="B230" s="3">
        <v>2012.0</v>
      </c>
      <c r="C230" s="3">
        <v>9.0</v>
      </c>
      <c r="D230" s="3" t="s">
        <v>8</v>
      </c>
      <c r="E230" s="3">
        <v>98.66</v>
      </c>
      <c r="F230" s="3">
        <v>122.93</v>
      </c>
      <c r="G230" s="3">
        <v>80.3</v>
      </c>
    </row>
    <row r="231">
      <c r="A231" s="4">
        <v>41183.0</v>
      </c>
      <c r="B231" s="3">
        <v>2012.0</v>
      </c>
      <c r="C231" s="3">
        <v>10.0</v>
      </c>
      <c r="D231" s="3" t="s">
        <v>8</v>
      </c>
      <c r="E231" s="3">
        <v>102.85</v>
      </c>
      <c r="F231" s="3">
        <v>125.25</v>
      </c>
      <c r="G231" s="3">
        <v>82.1</v>
      </c>
    </row>
    <row r="232">
      <c r="A232" s="4">
        <v>41214.0</v>
      </c>
      <c r="B232" s="3">
        <v>2012.0</v>
      </c>
      <c r="C232" s="3">
        <v>11.0</v>
      </c>
      <c r="D232" s="3" t="s">
        <v>8</v>
      </c>
      <c r="E232" s="3">
        <v>91.14</v>
      </c>
      <c r="F232" s="3">
        <v>116.17</v>
      </c>
      <c r="G232" s="3">
        <v>78.4</v>
      </c>
    </row>
    <row r="233">
      <c r="A233" s="4">
        <v>41244.0</v>
      </c>
      <c r="B233" s="3">
        <v>2012.0</v>
      </c>
      <c r="C233" s="3">
        <v>12.0</v>
      </c>
      <c r="D233" s="3" t="s">
        <v>8</v>
      </c>
      <c r="E233" s="3">
        <v>82.39</v>
      </c>
      <c r="F233" s="3">
        <v>99.95</v>
      </c>
      <c r="G233" s="3">
        <v>82.4</v>
      </c>
    </row>
    <row r="234">
      <c r="A234" s="2">
        <v>41275.0</v>
      </c>
      <c r="B234" s="3">
        <v>2013.0</v>
      </c>
      <c r="C234" s="3">
        <v>1.0</v>
      </c>
      <c r="D234" s="3" t="s">
        <v>8</v>
      </c>
      <c r="E234" s="3">
        <v>76.95</v>
      </c>
      <c r="F234" s="3">
        <v>91.81</v>
      </c>
      <c r="G234" s="3">
        <v>83.8</v>
      </c>
    </row>
    <row r="235">
      <c r="A235" s="2">
        <v>41306.0</v>
      </c>
      <c r="B235" s="3">
        <v>2013.0</v>
      </c>
      <c r="C235" s="3">
        <v>2.0</v>
      </c>
      <c r="D235" s="3" t="s">
        <v>8</v>
      </c>
      <c r="E235" s="3">
        <v>75.07</v>
      </c>
      <c r="F235" s="3">
        <v>92.2</v>
      </c>
      <c r="G235" s="3">
        <v>81.4</v>
      </c>
    </row>
    <row r="236">
      <c r="A236" s="2">
        <v>41334.0</v>
      </c>
      <c r="B236" s="3">
        <v>2013.0</v>
      </c>
      <c r="C236" s="3">
        <v>3.0</v>
      </c>
      <c r="D236" s="3" t="s">
        <v>8</v>
      </c>
      <c r="E236" s="3">
        <v>78.6</v>
      </c>
      <c r="F236" s="3">
        <v>95.47</v>
      </c>
      <c r="G236" s="3">
        <v>82.3</v>
      </c>
    </row>
    <row r="237">
      <c r="A237" s="2">
        <v>41365.0</v>
      </c>
      <c r="B237" s="3">
        <v>2013.0</v>
      </c>
      <c r="C237" s="3">
        <v>4.0</v>
      </c>
      <c r="D237" s="3" t="s">
        <v>8</v>
      </c>
      <c r="E237" s="3">
        <v>83.75</v>
      </c>
      <c r="F237" s="3">
        <v>102.82</v>
      </c>
      <c r="G237" s="3">
        <v>81.5</v>
      </c>
    </row>
    <row r="238">
      <c r="A238" s="2">
        <v>41395.0</v>
      </c>
      <c r="B238" s="3">
        <v>2013.0</v>
      </c>
      <c r="C238" s="3">
        <v>5.0</v>
      </c>
      <c r="D238" s="3" t="s">
        <v>8</v>
      </c>
      <c r="E238" s="3">
        <v>92.01</v>
      </c>
      <c r="F238" s="3">
        <v>114.26</v>
      </c>
      <c r="G238" s="3">
        <v>80.5</v>
      </c>
    </row>
    <row r="239">
      <c r="A239" s="2">
        <v>41426.0</v>
      </c>
      <c r="B239" s="3">
        <v>2013.0</v>
      </c>
      <c r="C239" s="3">
        <v>6.0</v>
      </c>
      <c r="D239" s="3" t="s">
        <v>8</v>
      </c>
      <c r="E239" s="3">
        <v>101.48</v>
      </c>
      <c r="F239" s="3">
        <v>123.04</v>
      </c>
      <c r="G239" s="3">
        <v>82.5</v>
      </c>
    </row>
    <row r="240">
      <c r="A240" s="2">
        <v>41456.0</v>
      </c>
      <c r="B240" s="3">
        <v>2013.0</v>
      </c>
      <c r="C240" s="3">
        <v>7.0</v>
      </c>
      <c r="D240" s="3" t="s">
        <v>8</v>
      </c>
      <c r="E240" s="3">
        <v>105.25</v>
      </c>
      <c r="F240" s="3">
        <v>129.72</v>
      </c>
      <c r="G240" s="3">
        <v>81.1</v>
      </c>
    </row>
    <row r="241">
      <c r="A241" s="2">
        <v>41487.0</v>
      </c>
      <c r="B241" s="3">
        <v>2013.0</v>
      </c>
      <c r="C241" s="3">
        <v>8.0</v>
      </c>
      <c r="D241" s="3" t="s">
        <v>8</v>
      </c>
      <c r="E241" s="3">
        <v>110.44</v>
      </c>
      <c r="F241" s="3">
        <v>135.46</v>
      </c>
      <c r="G241" s="3">
        <v>81.5</v>
      </c>
    </row>
    <row r="242">
      <c r="A242" s="2">
        <v>41518.0</v>
      </c>
      <c r="B242" s="3">
        <v>2013.0</v>
      </c>
      <c r="C242" s="3">
        <v>9.0</v>
      </c>
      <c r="D242" s="3" t="s">
        <v>8</v>
      </c>
      <c r="E242" s="3">
        <v>105.39</v>
      </c>
      <c r="F242" s="3">
        <v>128.19</v>
      </c>
      <c r="G242" s="3">
        <v>82.2</v>
      </c>
    </row>
    <row r="243">
      <c r="A243" s="4">
        <v>41548.0</v>
      </c>
      <c r="B243" s="3">
        <v>2013.0</v>
      </c>
      <c r="C243" s="3">
        <v>10.0</v>
      </c>
      <c r="D243" s="3" t="s">
        <v>8</v>
      </c>
      <c r="E243" s="3">
        <v>106.89</v>
      </c>
      <c r="F243" s="3">
        <v>134.76</v>
      </c>
      <c r="G243" s="3">
        <v>79.3</v>
      </c>
    </row>
    <row r="244">
      <c r="A244" s="4">
        <v>41579.0</v>
      </c>
      <c r="B244" s="3">
        <v>2013.0</v>
      </c>
      <c r="C244" s="3">
        <v>11.0</v>
      </c>
      <c r="D244" s="3" t="s">
        <v>8</v>
      </c>
      <c r="E244" s="3">
        <v>97.08</v>
      </c>
      <c r="F244" s="3">
        <v>124.13</v>
      </c>
      <c r="G244" s="3">
        <v>78.2</v>
      </c>
    </row>
    <row r="245">
      <c r="A245" s="4">
        <v>41609.0</v>
      </c>
      <c r="B245" s="3">
        <v>2013.0</v>
      </c>
      <c r="C245" s="3">
        <v>12.0</v>
      </c>
      <c r="D245" s="3" t="s">
        <v>8</v>
      </c>
      <c r="E245" s="3">
        <v>88.67</v>
      </c>
      <c r="F245" s="3">
        <v>104.13</v>
      </c>
      <c r="G245" s="3">
        <v>85.2</v>
      </c>
    </row>
    <row r="246">
      <c r="A246" s="2">
        <v>41640.0</v>
      </c>
      <c r="B246" s="3">
        <v>2014.0</v>
      </c>
      <c r="C246" s="3">
        <v>1.0</v>
      </c>
      <c r="D246" s="3" t="s">
        <v>8</v>
      </c>
      <c r="E246" s="3">
        <v>84.41</v>
      </c>
      <c r="F246" s="3">
        <v>102.51</v>
      </c>
      <c r="G246" s="3">
        <v>82.3</v>
      </c>
    </row>
    <row r="247">
      <c r="A247" s="2">
        <v>41671.0</v>
      </c>
      <c r="B247" s="3">
        <v>2014.0</v>
      </c>
      <c r="C247" s="3">
        <v>2.0</v>
      </c>
      <c r="D247" s="3" t="s">
        <v>8</v>
      </c>
      <c r="E247" s="3">
        <v>80.21</v>
      </c>
      <c r="F247" s="3">
        <v>97.75</v>
      </c>
      <c r="G247" s="3">
        <v>82.1</v>
      </c>
    </row>
    <row r="248">
      <c r="A248" s="2">
        <v>41699.0</v>
      </c>
      <c r="B248" s="3">
        <v>2014.0</v>
      </c>
      <c r="C248" s="3">
        <v>3.0</v>
      </c>
      <c r="D248" s="3" t="s">
        <v>8</v>
      </c>
      <c r="E248" s="3">
        <v>83.19</v>
      </c>
      <c r="F248" s="3">
        <v>103.43</v>
      </c>
      <c r="G248" s="3">
        <v>80.4</v>
      </c>
    </row>
    <row r="249">
      <c r="A249" s="2">
        <v>41730.0</v>
      </c>
      <c r="B249" s="3">
        <v>2014.0</v>
      </c>
      <c r="C249" s="3">
        <v>4.0</v>
      </c>
      <c r="D249" s="3" t="s">
        <v>8</v>
      </c>
      <c r="E249" s="3">
        <v>88.67</v>
      </c>
      <c r="F249" s="3">
        <v>107.62</v>
      </c>
      <c r="G249" s="3">
        <v>82.4</v>
      </c>
    </row>
    <row r="250">
      <c r="A250" s="2">
        <v>41760.0</v>
      </c>
      <c r="B250" s="3">
        <v>2014.0</v>
      </c>
      <c r="C250" s="3">
        <v>5.0</v>
      </c>
      <c r="D250" s="3" t="s">
        <v>8</v>
      </c>
      <c r="E250" s="3">
        <v>94.86</v>
      </c>
      <c r="F250" s="3">
        <v>118.0</v>
      </c>
      <c r="G250" s="3">
        <v>80.4</v>
      </c>
    </row>
    <row r="251">
      <c r="A251" s="2">
        <v>41791.0</v>
      </c>
      <c r="B251" s="3">
        <v>2014.0</v>
      </c>
      <c r="C251" s="3">
        <v>6.0</v>
      </c>
      <c r="D251" s="3" t="s">
        <v>8</v>
      </c>
      <c r="E251" s="3">
        <v>100.55</v>
      </c>
      <c r="F251" s="3">
        <v>121.47</v>
      </c>
      <c r="G251" s="3">
        <v>82.8</v>
      </c>
    </row>
    <row r="252">
      <c r="A252" s="2">
        <v>41821.0</v>
      </c>
      <c r="B252" s="3">
        <v>2014.0</v>
      </c>
      <c r="C252" s="3">
        <v>7.0</v>
      </c>
      <c r="D252" s="3" t="s">
        <v>8</v>
      </c>
      <c r="E252" s="3">
        <v>112.33</v>
      </c>
      <c r="F252" s="3">
        <v>136.21</v>
      </c>
      <c r="G252" s="3">
        <v>82.5</v>
      </c>
    </row>
    <row r="253">
      <c r="A253" s="2">
        <v>41852.0</v>
      </c>
      <c r="B253" s="3">
        <v>2014.0</v>
      </c>
      <c r="C253" s="3">
        <v>8.0</v>
      </c>
      <c r="D253" s="3" t="s">
        <v>8</v>
      </c>
      <c r="E253" s="3">
        <v>116.21</v>
      </c>
      <c r="F253" s="3">
        <v>141.41</v>
      </c>
      <c r="G253" s="3">
        <v>82.2</v>
      </c>
    </row>
    <row r="254">
      <c r="A254" s="2">
        <v>41883.0</v>
      </c>
      <c r="B254" s="3">
        <v>2014.0</v>
      </c>
      <c r="C254" s="3">
        <v>9.0</v>
      </c>
      <c r="D254" s="3" t="s">
        <v>8</v>
      </c>
      <c r="E254" s="3">
        <v>112.65</v>
      </c>
      <c r="F254" s="3">
        <v>136.37</v>
      </c>
      <c r="G254" s="3">
        <v>82.6</v>
      </c>
    </row>
    <row r="255">
      <c r="A255" s="4">
        <v>41913.0</v>
      </c>
      <c r="B255" s="3">
        <v>2014.0</v>
      </c>
      <c r="C255" s="3">
        <v>10.0</v>
      </c>
      <c r="D255" s="3" t="s">
        <v>8</v>
      </c>
      <c r="E255" s="3">
        <v>106.03</v>
      </c>
      <c r="F255" s="3">
        <v>131.0</v>
      </c>
      <c r="G255" s="3">
        <v>80.9</v>
      </c>
    </row>
    <row r="256">
      <c r="A256" s="4">
        <v>41944.0</v>
      </c>
      <c r="B256" s="3">
        <v>2014.0</v>
      </c>
      <c r="C256" s="3">
        <v>11.0</v>
      </c>
      <c r="D256" s="3" t="s">
        <v>8</v>
      </c>
      <c r="E256" s="3">
        <v>106.08</v>
      </c>
      <c r="F256" s="3">
        <v>130.81</v>
      </c>
      <c r="G256" s="3">
        <v>81.1</v>
      </c>
    </row>
    <row r="257">
      <c r="A257" s="4">
        <v>41974.0</v>
      </c>
      <c r="B257" s="3">
        <v>2014.0</v>
      </c>
      <c r="C257" s="3">
        <v>12.0</v>
      </c>
      <c r="D257" s="3" t="s">
        <v>8</v>
      </c>
      <c r="E257" s="3">
        <v>90.34</v>
      </c>
      <c r="F257" s="3">
        <v>109.01</v>
      </c>
      <c r="G257" s="3">
        <v>82.9</v>
      </c>
    </row>
    <row r="258">
      <c r="A258" s="2">
        <v>42005.0</v>
      </c>
      <c r="B258" s="3">
        <v>2015.0</v>
      </c>
      <c r="C258" s="3">
        <v>1.0</v>
      </c>
      <c r="D258" s="3" t="s">
        <v>8</v>
      </c>
      <c r="E258" s="3">
        <v>87.67</v>
      </c>
      <c r="F258" s="3">
        <v>110.71</v>
      </c>
      <c r="G258" s="3">
        <v>79.2</v>
      </c>
    </row>
    <row r="259">
      <c r="A259" s="2">
        <v>42036.0</v>
      </c>
      <c r="B259" s="3">
        <v>2015.0</v>
      </c>
      <c r="C259" s="3">
        <v>2.0</v>
      </c>
      <c r="D259" s="3" t="s">
        <v>8</v>
      </c>
      <c r="E259" s="3">
        <v>88.35</v>
      </c>
      <c r="F259" s="3">
        <v>107.99</v>
      </c>
      <c r="G259" s="3">
        <v>81.8</v>
      </c>
    </row>
    <row r="260">
      <c r="A260" s="2">
        <v>42064.0</v>
      </c>
      <c r="B260" s="3">
        <v>2015.0</v>
      </c>
      <c r="C260" s="3">
        <v>3.0</v>
      </c>
      <c r="D260" s="3" t="s">
        <v>8</v>
      </c>
      <c r="E260" s="3">
        <v>85.0</v>
      </c>
      <c r="F260" s="3">
        <v>100.74</v>
      </c>
      <c r="G260" s="3">
        <v>84.4</v>
      </c>
    </row>
    <row r="261">
      <c r="A261" s="2">
        <v>42095.0</v>
      </c>
      <c r="B261" s="3">
        <v>2015.0</v>
      </c>
      <c r="C261" s="3">
        <v>4.0</v>
      </c>
      <c r="D261" s="3" t="s">
        <v>8</v>
      </c>
      <c r="E261" s="3">
        <v>95.67</v>
      </c>
      <c r="F261" s="3">
        <v>120.38</v>
      </c>
      <c r="G261" s="3">
        <v>79.5</v>
      </c>
    </row>
    <row r="262">
      <c r="A262" s="2">
        <v>42125.0</v>
      </c>
      <c r="B262" s="3">
        <v>2015.0</v>
      </c>
      <c r="C262" s="3">
        <v>5.0</v>
      </c>
      <c r="D262" s="3" t="s">
        <v>8</v>
      </c>
      <c r="E262" s="3">
        <v>107.59</v>
      </c>
      <c r="F262" s="3">
        <v>129.13</v>
      </c>
      <c r="G262" s="3">
        <v>83.3</v>
      </c>
    </row>
    <row r="263">
      <c r="A263" s="2">
        <v>42156.0</v>
      </c>
      <c r="B263" s="3">
        <v>2015.0</v>
      </c>
      <c r="C263" s="3">
        <v>6.0</v>
      </c>
      <c r="D263" s="3" t="s">
        <v>8</v>
      </c>
      <c r="E263" s="3">
        <v>110.15</v>
      </c>
      <c r="F263" s="3">
        <v>129.32</v>
      </c>
      <c r="G263" s="3">
        <v>85.2</v>
      </c>
    </row>
    <row r="264">
      <c r="A264" s="2">
        <v>42186.0</v>
      </c>
      <c r="B264" s="3">
        <v>2015.0</v>
      </c>
      <c r="C264" s="3">
        <v>7.0</v>
      </c>
      <c r="D264" s="3" t="s">
        <v>8</v>
      </c>
      <c r="E264" s="3">
        <v>116.94</v>
      </c>
      <c r="F264" s="3">
        <v>142.7</v>
      </c>
      <c r="G264" s="3">
        <v>81.9</v>
      </c>
    </row>
    <row r="265">
      <c r="A265" s="2">
        <v>42217.0</v>
      </c>
      <c r="B265" s="3">
        <v>2015.0</v>
      </c>
      <c r="C265" s="3">
        <v>8.0</v>
      </c>
      <c r="D265" s="3" t="s">
        <v>8</v>
      </c>
      <c r="E265" s="3">
        <v>116.69</v>
      </c>
      <c r="F265" s="3">
        <v>140.31</v>
      </c>
      <c r="G265" s="3">
        <v>83.2</v>
      </c>
    </row>
    <row r="266">
      <c r="A266" s="2">
        <v>42248.0</v>
      </c>
      <c r="B266" s="3">
        <v>2015.0</v>
      </c>
      <c r="C266" s="3">
        <v>9.0</v>
      </c>
      <c r="D266" s="3" t="s">
        <v>8</v>
      </c>
      <c r="E266" s="3">
        <v>119.2</v>
      </c>
      <c r="F266" s="3">
        <v>145.32</v>
      </c>
      <c r="G266" s="3">
        <v>82.0</v>
      </c>
    </row>
    <row r="267">
      <c r="A267" s="4">
        <v>42278.0</v>
      </c>
      <c r="B267" s="3">
        <v>2015.0</v>
      </c>
      <c r="C267" s="3">
        <v>10.0</v>
      </c>
      <c r="D267" s="3" t="s">
        <v>8</v>
      </c>
      <c r="E267" s="3">
        <v>109.71</v>
      </c>
      <c r="F267" s="3">
        <v>133.37</v>
      </c>
      <c r="G267" s="3">
        <v>82.3</v>
      </c>
    </row>
    <row r="268">
      <c r="A268" s="4">
        <v>42309.0</v>
      </c>
      <c r="B268" s="3">
        <v>2015.0</v>
      </c>
      <c r="C268" s="3">
        <v>11.0</v>
      </c>
      <c r="D268" s="3" t="s">
        <v>8</v>
      </c>
      <c r="E268" s="3">
        <v>104.78</v>
      </c>
      <c r="F268" s="3">
        <v>132.08</v>
      </c>
      <c r="G268" s="3">
        <v>79.3</v>
      </c>
    </row>
    <row r="269">
      <c r="A269" s="4">
        <v>42339.0</v>
      </c>
      <c r="B269" s="3">
        <v>2015.0</v>
      </c>
      <c r="C269" s="3">
        <v>12.0</v>
      </c>
      <c r="D269" s="3" t="s">
        <v>8</v>
      </c>
      <c r="E269" s="3">
        <v>93.37</v>
      </c>
      <c r="F269" s="3">
        <v>112.32</v>
      </c>
      <c r="G269" s="3">
        <v>83.1</v>
      </c>
    </row>
    <row r="270">
      <c r="A270" s="2">
        <v>42370.0</v>
      </c>
      <c r="B270" s="3">
        <v>2016.0</v>
      </c>
      <c r="C270" s="3">
        <v>1.0</v>
      </c>
      <c r="D270" s="3" t="s">
        <v>8</v>
      </c>
      <c r="E270" s="3">
        <v>85.3</v>
      </c>
      <c r="F270" s="3">
        <v>103.51</v>
      </c>
      <c r="G270" s="3">
        <v>82.4</v>
      </c>
    </row>
    <row r="271">
      <c r="A271" s="2">
        <v>42401.0</v>
      </c>
      <c r="B271" s="3">
        <v>2016.0</v>
      </c>
      <c r="C271" s="3">
        <v>2.0</v>
      </c>
      <c r="D271" s="3" t="s">
        <v>8</v>
      </c>
      <c r="E271" s="3">
        <v>89.24</v>
      </c>
      <c r="F271" s="3">
        <v>105.46</v>
      </c>
      <c r="G271" s="3">
        <v>84.6</v>
      </c>
    </row>
    <row r="272">
      <c r="A272" s="2">
        <v>42430.0</v>
      </c>
      <c r="B272" s="3">
        <v>2016.0</v>
      </c>
      <c r="C272" s="3">
        <v>3.0</v>
      </c>
      <c r="D272" s="3" t="s">
        <v>8</v>
      </c>
      <c r="E272" s="3">
        <v>91.73</v>
      </c>
      <c r="F272" s="3">
        <v>110.1</v>
      </c>
      <c r="G272" s="3">
        <v>83.3</v>
      </c>
    </row>
    <row r="273">
      <c r="A273" s="2">
        <v>42461.0</v>
      </c>
      <c r="B273" s="3">
        <v>2016.0</v>
      </c>
      <c r="C273" s="3">
        <v>4.0</v>
      </c>
      <c r="D273" s="3" t="s">
        <v>8</v>
      </c>
      <c r="E273" s="3">
        <v>98.26</v>
      </c>
      <c r="F273" s="3">
        <v>119.5</v>
      </c>
      <c r="G273" s="3">
        <v>82.2</v>
      </c>
    </row>
    <row r="274">
      <c r="A274" s="2">
        <v>42491.0</v>
      </c>
      <c r="B274" s="3">
        <v>2016.0</v>
      </c>
      <c r="C274" s="3">
        <v>5.0</v>
      </c>
      <c r="D274" s="3" t="s">
        <v>8</v>
      </c>
      <c r="E274" s="3">
        <v>110.41</v>
      </c>
      <c r="F274" s="3">
        <v>136.19</v>
      </c>
      <c r="G274" s="3">
        <v>81.1</v>
      </c>
    </row>
    <row r="275">
      <c r="A275" s="2">
        <v>42522.0</v>
      </c>
      <c r="B275" s="3">
        <v>2016.0</v>
      </c>
      <c r="C275" s="3">
        <v>6.0</v>
      </c>
      <c r="D275" s="3" t="s">
        <v>8</v>
      </c>
      <c r="E275" s="3">
        <v>120.18</v>
      </c>
      <c r="F275" s="3">
        <v>150.2</v>
      </c>
      <c r="G275" s="3">
        <v>80.0</v>
      </c>
    </row>
    <row r="276">
      <c r="A276" s="2">
        <v>42552.0</v>
      </c>
      <c r="B276" s="3">
        <v>2016.0</v>
      </c>
      <c r="C276" s="3">
        <v>7.0</v>
      </c>
      <c r="D276" s="3" t="s">
        <v>8</v>
      </c>
      <c r="E276" s="3">
        <v>124.25</v>
      </c>
      <c r="F276" s="3">
        <v>148.19</v>
      </c>
      <c r="G276" s="3">
        <v>83.8</v>
      </c>
    </row>
    <row r="277">
      <c r="A277" s="2">
        <v>42583.0</v>
      </c>
      <c r="B277" s="3">
        <v>2016.0</v>
      </c>
      <c r="C277" s="3">
        <v>8.0</v>
      </c>
      <c r="D277" s="3" t="s">
        <v>8</v>
      </c>
      <c r="E277" s="3">
        <v>128.44</v>
      </c>
      <c r="F277" s="3">
        <v>149.64</v>
      </c>
      <c r="G277" s="3">
        <v>85.8</v>
      </c>
    </row>
    <row r="278">
      <c r="A278" s="2">
        <v>42614.0</v>
      </c>
      <c r="B278" s="3">
        <v>2016.0</v>
      </c>
      <c r="C278" s="3">
        <v>9.0</v>
      </c>
      <c r="D278" s="3" t="s">
        <v>8</v>
      </c>
      <c r="E278" s="3">
        <v>121.48</v>
      </c>
      <c r="F278" s="3">
        <v>153.3</v>
      </c>
      <c r="G278" s="3">
        <v>79.2</v>
      </c>
    </row>
    <row r="279">
      <c r="A279" s="4">
        <v>42644.0</v>
      </c>
      <c r="B279" s="3">
        <v>2016.0</v>
      </c>
      <c r="C279" s="3">
        <v>10.0</v>
      </c>
      <c r="D279" s="3" t="s">
        <v>8</v>
      </c>
      <c r="E279" s="3">
        <v>115.3</v>
      </c>
      <c r="F279" s="3">
        <v>138.38</v>
      </c>
      <c r="G279" s="3">
        <v>83.3</v>
      </c>
    </row>
    <row r="280">
      <c r="A280" s="4">
        <v>42675.0</v>
      </c>
      <c r="B280" s="3">
        <v>2016.0</v>
      </c>
      <c r="C280" s="3">
        <v>11.0</v>
      </c>
      <c r="D280" s="3" t="s">
        <v>8</v>
      </c>
      <c r="E280" s="3">
        <v>112.67</v>
      </c>
      <c r="F280" s="3">
        <v>137.06</v>
      </c>
      <c r="G280" s="3">
        <v>82.2</v>
      </c>
    </row>
    <row r="281">
      <c r="A281" s="4">
        <v>42705.0</v>
      </c>
      <c r="B281" s="3">
        <v>2016.0</v>
      </c>
      <c r="C281" s="3">
        <v>12.0</v>
      </c>
      <c r="D281" s="3" t="s">
        <v>8</v>
      </c>
      <c r="E281" s="3">
        <v>99.72</v>
      </c>
      <c r="F281" s="3">
        <v>119.38</v>
      </c>
      <c r="G281" s="3">
        <v>83.5</v>
      </c>
    </row>
    <row r="282">
      <c r="A282" s="2">
        <v>42736.0</v>
      </c>
      <c r="B282" s="3">
        <v>2017.0</v>
      </c>
      <c r="C282" s="3">
        <v>1.0</v>
      </c>
      <c r="D282" s="3" t="s">
        <v>8</v>
      </c>
      <c r="E282" s="3">
        <v>93.94</v>
      </c>
      <c r="F282" s="3">
        <v>111.41</v>
      </c>
      <c r="G282" s="3">
        <v>84.3</v>
      </c>
    </row>
    <row r="283">
      <c r="A283" s="2">
        <v>42767.0</v>
      </c>
      <c r="B283" s="3">
        <v>2017.0</v>
      </c>
      <c r="C283" s="3">
        <v>2.0</v>
      </c>
      <c r="D283" s="3" t="s">
        <v>8</v>
      </c>
      <c r="E283" s="3">
        <v>104.18</v>
      </c>
      <c r="F283" s="3">
        <v>125.93</v>
      </c>
      <c r="G283" s="3">
        <v>82.7</v>
      </c>
    </row>
    <row r="284">
      <c r="A284" s="2">
        <v>42795.0</v>
      </c>
      <c r="B284" s="3">
        <v>2017.0</v>
      </c>
      <c r="C284" s="3">
        <v>3.0</v>
      </c>
      <c r="D284" s="3" t="s">
        <v>8</v>
      </c>
      <c r="E284" s="3">
        <v>100.06</v>
      </c>
      <c r="F284" s="3">
        <v>123.5</v>
      </c>
      <c r="G284" s="3">
        <v>81.0</v>
      </c>
    </row>
    <row r="285">
      <c r="A285" s="2">
        <v>42826.0</v>
      </c>
      <c r="B285" s="3">
        <v>2017.0</v>
      </c>
      <c r="C285" s="3">
        <v>4.0</v>
      </c>
      <c r="D285" s="3" t="s">
        <v>8</v>
      </c>
      <c r="E285" s="3">
        <v>99.44</v>
      </c>
      <c r="F285" s="3">
        <v>123.08</v>
      </c>
      <c r="G285" s="3">
        <v>80.8</v>
      </c>
    </row>
    <row r="286">
      <c r="A286" s="2">
        <v>42856.0</v>
      </c>
      <c r="B286" s="3">
        <v>2017.0</v>
      </c>
      <c r="C286" s="3">
        <v>5.0</v>
      </c>
      <c r="D286" s="3" t="s">
        <v>8</v>
      </c>
      <c r="E286" s="3">
        <v>110.32</v>
      </c>
      <c r="F286" s="3">
        <v>139.46</v>
      </c>
      <c r="G286" s="3">
        <v>79.1</v>
      </c>
    </row>
    <row r="287">
      <c r="A287" s="2">
        <v>42887.0</v>
      </c>
      <c r="B287" s="3">
        <v>2017.0</v>
      </c>
      <c r="C287" s="3">
        <v>6.0</v>
      </c>
      <c r="D287" s="3" t="s">
        <v>8</v>
      </c>
      <c r="E287" s="3">
        <v>129.61</v>
      </c>
      <c r="F287" s="3">
        <v>157.02</v>
      </c>
      <c r="G287" s="3">
        <v>82.5</v>
      </c>
    </row>
    <row r="288">
      <c r="A288" s="2">
        <v>42917.0</v>
      </c>
      <c r="B288" s="3">
        <v>2017.0</v>
      </c>
      <c r="C288" s="3">
        <v>7.0</v>
      </c>
      <c r="D288" s="3" t="s">
        <v>8</v>
      </c>
      <c r="E288" s="3">
        <v>131.43</v>
      </c>
      <c r="F288" s="3">
        <v>161.49</v>
      </c>
      <c r="G288" s="3">
        <v>81.4</v>
      </c>
    </row>
    <row r="289">
      <c r="A289" s="2">
        <v>42948.0</v>
      </c>
      <c r="B289" s="3">
        <v>2017.0</v>
      </c>
      <c r="C289" s="3">
        <v>8.0</v>
      </c>
      <c r="D289" s="3" t="s">
        <v>8</v>
      </c>
      <c r="E289" s="3">
        <v>132.14</v>
      </c>
      <c r="F289" s="3">
        <v>157.44</v>
      </c>
      <c r="G289" s="3">
        <v>83.9</v>
      </c>
    </row>
    <row r="290">
      <c r="A290" s="2">
        <v>42979.0</v>
      </c>
      <c r="B290" s="3">
        <v>2017.0</v>
      </c>
      <c r="C290" s="3">
        <v>9.0</v>
      </c>
      <c r="D290" s="3" t="s">
        <v>8</v>
      </c>
      <c r="E290" s="3">
        <v>130.94</v>
      </c>
      <c r="F290" s="3">
        <v>157.64</v>
      </c>
      <c r="G290" s="3">
        <v>83.1</v>
      </c>
    </row>
    <row r="291">
      <c r="A291" s="4">
        <v>43009.0</v>
      </c>
      <c r="B291" s="3">
        <v>2017.0</v>
      </c>
      <c r="C291" s="3">
        <v>10.0</v>
      </c>
      <c r="D291" s="3" t="s">
        <v>8</v>
      </c>
      <c r="E291" s="3">
        <v>124.5</v>
      </c>
      <c r="F291" s="3">
        <v>153.11</v>
      </c>
      <c r="G291" s="3">
        <v>81.3</v>
      </c>
    </row>
    <row r="292">
      <c r="A292" s="4">
        <v>43040.0</v>
      </c>
      <c r="B292" s="3">
        <v>2017.0</v>
      </c>
      <c r="C292" s="3">
        <v>11.0</v>
      </c>
      <c r="D292" s="3" t="s">
        <v>8</v>
      </c>
      <c r="E292" s="3">
        <v>112.16</v>
      </c>
      <c r="F292" s="3">
        <v>143.72</v>
      </c>
      <c r="G292" s="3">
        <v>78.0</v>
      </c>
    </row>
    <row r="293">
      <c r="A293" s="4">
        <v>43070.0</v>
      </c>
      <c r="B293" s="3">
        <v>2017.0</v>
      </c>
      <c r="C293" s="3">
        <v>12.0</v>
      </c>
      <c r="D293" s="3" t="s">
        <v>8</v>
      </c>
      <c r="E293" s="3">
        <v>107.84</v>
      </c>
      <c r="F293" s="3">
        <v>131.33</v>
      </c>
      <c r="G293" s="3">
        <v>82.1</v>
      </c>
    </row>
    <row r="294">
      <c r="A294" s="2">
        <v>43101.0</v>
      </c>
      <c r="B294" s="3">
        <v>2018.0</v>
      </c>
      <c r="C294" s="3">
        <v>1.0</v>
      </c>
      <c r="D294" s="3" t="s">
        <v>8</v>
      </c>
      <c r="E294" s="3">
        <v>98.79</v>
      </c>
      <c r="F294" s="3">
        <v>120.57</v>
      </c>
      <c r="G294" s="3">
        <v>81.9</v>
      </c>
    </row>
    <row r="295">
      <c r="A295" s="2">
        <v>43132.0</v>
      </c>
      <c r="B295" s="3">
        <v>2018.0</v>
      </c>
      <c r="C295" s="3">
        <v>2.0</v>
      </c>
      <c r="D295" s="3" t="s">
        <v>8</v>
      </c>
      <c r="E295" s="3">
        <v>100.89</v>
      </c>
      <c r="F295" s="3">
        <v>129.86</v>
      </c>
      <c r="G295" s="3">
        <v>77.7</v>
      </c>
    </row>
    <row r="296">
      <c r="A296" s="2">
        <v>43160.0</v>
      </c>
      <c r="B296" s="3">
        <v>2018.0</v>
      </c>
      <c r="C296" s="3">
        <v>3.0</v>
      </c>
      <c r="D296" s="3" t="s">
        <v>8</v>
      </c>
      <c r="E296" s="3">
        <v>100.74</v>
      </c>
      <c r="F296" s="3">
        <v>121.64</v>
      </c>
      <c r="G296" s="3">
        <v>82.8</v>
      </c>
    </row>
    <row r="297">
      <c r="A297" s="2">
        <v>43191.0</v>
      </c>
      <c r="B297" s="3">
        <v>2018.0</v>
      </c>
      <c r="C297" s="3">
        <v>4.0</v>
      </c>
      <c r="D297" s="3" t="s">
        <v>8</v>
      </c>
      <c r="E297" s="3">
        <v>111.83</v>
      </c>
      <c r="F297" s="3">
        <v>140.32</v>
      </c>
      <c r="G297" s="3">
        <v>79.7</v>
      </c>
    </row>
    <row r="298">
      <c r="A298" s="2">
        <v>43221.0</v>
      </c>
      <c r="B298" s="3">
        <v>2018.0</v>
      </c>
      <c r="C298" s="3">
        <v>5.0</v>
      </c>
      <c r="D298" s="3" t="s">
        <v>8</v>
      </c>
      <c r="E298" s="3">
        <v>120.57</v>
      </c>
      <c r="F298" s="3">
        <v>143.46</v>
      </c>
      <c r="G298" s="3">
        <v>84.0</v>
      </c>
    </row>
    <row r="299">
      <c r="A299" s="2">
        <v>43252.0</v>
      </c>
      <c r="B299" s="3">
        <v>2018.0</v>
      </c>
      <c r="C299" s="3">
        <v>6.0</v>
      </c>
      <c r="D299" s="3" t="s">
        <v>8</v>
      </c>
      <c r="E299" s="3">
        <v>132.59</v>
      </c>
      <c r="F299" s="3">
        <v>162.08</v>
      </c>
      <c r="G299" s="3">
        <v>81.8</v>
      </c>
    </row>
    <row r="300">
      <c r="A300" s="2">
        <v>43282.0</v>
      </c>
      <c r="B300" s="3">
        <v>2018.0</v>
      </c>
      <c r="C300" s="3">
        <v>7.0</v>
      </c>
      <c r="D300" s="3" t="s">
        <v>8</v>
      </c>
      <c r="E300" s="3">
        <v>134.81</v>
      </c>
      <c r="F300" s="3">
        <v>166.97</v>
      </c>
      <c r="G300" s="3">
        <v>80.7</v>
      </c>
    </row>
    <row r="301">
      <c r="A301" s="2">
        <v>43313.0</v>
      </c>
      <c r="B301" s="3">
        <v>2018.0</v>
      </c>
      <c r="C301" s="3">
        <v>8.0</v>
      </c>
      <c r="D301" s="3" t="s">
        <v>8</v>
      </c>
      <c r="E301" s="3">
        <v>141.7</v>
      </c>
      <c r="F301" s="3">
        <v>171.99</v>
      </c>
      <c r="G301" s="3">
        <v>82.4</v>
      </c>
    </row>
    <row r="302">
      <c r="A302" s="2">
        <v>43344.0</v>
      </c>
      <c r="B302" s="3">
        <v>2018.0</v>
      </c>
      <c r="C302" s="3">
        <v>9.0</v>
      </c>
      <c r="D302" s="3" t="s">
        <v>8</v>
      </c>
      <c r="E302" s="3">
        <v>140.48</v>
      </c>
      <c r="F302" s="3">
        <v>170.76</v>
      </c>
      <c r="G302" s="3">
        <v>82.3</v>
      </c>
    </row>
    <row r="303">
      <c r="A303" s="4">
        <v>43374.0</v>
      </c>
      <c r="B303" s="3">
        <v>2018.0</v>
      </c>
      <c r="C303" s="3">
        <v>10.0</v>
      </c>
      <c r="D303" s="3" t="s">
        <v>8</v>
      </c>
      <c r="E303" s="3">
        <v>134.96</v>
      </c>
      <c r="F303" s="3">
        <v>164.21</v>
      </c>
      <c r="G303" s="3">
        <v>82.2</v>
      </c>
    </row>
    <row r="304">
      <c r="A304" s="4">
        <v>43405.0</v>
      </c>
      <c r="B304" s="3">
        <v>2018.0</v>
      </c>
      <c r="C304" s="3">
        <v>11.0</v>
      </c>
      <c r="D304" s="3" t="s">
        <v>8</v>
      </c>
      <c r="E304" s="3">
        <v>125.93</v>
      </c>
      <c r="F304" s="3">
        <v>150.38</v>
      </c>
      <c r="G304" s="3">
        <v>83.7</v>
      </c>
    </row>
    <row r="305">
      <c r="A305" s="4">
        <v>43435.0</v>
      </c>
      <c r="B305" s="3">
        <v>2018.0</v>
      </c>
      <c r="C305" s="3">
        <v>12.0</v>
      </c>
      <c r="D305" s="3" t="s">
        <v>8</v>
      </c>
      <c r="E305" s="3">
        <v>111.51</v>
      </c>
      <c r="F305" s="3">
        <v>142.27</v>
      </c>
      <c r="G305" s="3">
        <v>78.4</v>
      </c>
    </row>
    <row r="306">
      <c r="A306" s="2">
        <v>43466.0</v>
      </c>
      <c r="B306" s="3">
        <v>2019.0</v>
      </c>
      <c r="C306" s="3">
        <v>1.0</v>
      </c>
      <c r="D306" s="3" t="s">
        <v>8</v>
      </c>
      <c r="E306" s="3">
        <v>113.01</v>
      </c>
      <c r="F306" s="3">
        <v>136.95</v>
      </c>
      <c r="G306" s="3">
        <v>82.5</v>
      </c>
    </row>
    <row r="307">
      <c r="A307" s="2">
        <v>43497.0</v>
      </c>
      <c r="B307" s="3">
        <v>2019.0</v>
      </c>
      <c r="C307" s="3">
        <v>2.0</v>
      </c>
      <c r="D307" s="3" t="s">
        <v>8</v>
      </c>
      <c r="E307" s="3">
        <v>94.53</v>
      </c>
      <c r="F307" s="3">
        <v>117.32</v>
      </c>
      <c r="G307" s="3">
        <v>80.6</v>
      </c>
    </row>
    <row r="308">
      <c r="A308" s="2">
        <v>43525.0</v>
      </c>
      <c r="B308" s="3">
        <v>2019.0</v>
      </c>
      <c r="C308" s="3">
        <v>3.0</v>
      </c>
      <c r="D308" s="3" t="s">
        <v>8</v>
      </c>
      <c r="E308" s="3">
        <v>98.1</v>
      </c>
      <c r="F308" s="3">
        <v>120.46</v>
      </c>
      <c r="G308" s="3">
        <v>81.4</v>
      </c>
    </row>
    <row r="309">
      <c r="A309" s="2">
        <v>43556.0</v>
      </c>
      <c r="B309" s="3">
        <v>2019.0</v>
      </c>
      <c r="C309" s="3">
        <v>4.0</v>
      </c>
      <c r="D309" s="3" t="s">
        <v>8</v>
      </c>
      <c r="E309" s="3">
        <v>94.05</v>
      </c>
      <c r="F309" s="3">
        <v>110.91</v>
      </c>
      <c r="G309" s="3">
        <v>84.8</v>
      </c>
    </row>
    <row r="310">
      <c r="A310" s="2">
        <v>43586.0</v>
      </c>
      <c r="B310" s="3">
        <v>2019.0</v>
      </c>
      <c r="C310" s="3">
        <v>5.0</v>
      </c>
      <c r="D310" s="3" t="s">
        <v>8</v>
      </c>
      <c r="E310" s="3">
        <v>93.35</v>
      </c>
      <c r="F310" s="3">
        <v>116.11</v>
      </c>
      <c r="G310" s="3">
        <v>80.4</v>
      </c>
    </row>
    <row r="311">
      <c r="A311" s="2">
        <v>43617.0</v>
      </c>
      <c r="B311" s="3">
        <v>2019.0</v>
      </c>
      <c r="C311" s="3">
        <v>6.0</v>
      </c>
      <c r="D311" s="3" t="s">
        <v>8</v>
      </c>
      <c r="E311" s="3">
        <v>96.73</v>
      </c>
      <c r="F311" s="3">
        <v>116.86</v>
      </c>
      <c r="G311" s="3">
        <v>82.8</v>
      </c>
    </row>
    <row r="312">
      <c r="A312" s="2">
        <v>43647.0</v>
      </c>
      <c r="B312" s="3">
        <v>2019.0</v>
      </c>
      <c r="C312" s="3">
        <v>7.0</v>
      </c>
      <c r="D312" s="3" t="s">
        <v>8</v>
      </c>
      <c r="E312" s="3">
        <v>94.62</v>
      </c>
      <c r="F312" s="3">
        <v>112.88</v>
      </c>
      <c r="G312" s="3">
        <v>83.8</v>
      </c>
    </row>
    <row r="313">
      <c r="A313" s="2">
        <v>43678.0</v>
      </c>
      <c r="B313" s="3">
        <v>2019.0</v>
      </c>
      <c r="C313" s="3">
        <v>8.0</v>
      </c>
      <c r="D313" s="3" t="s">
        <v>8</v>
      </c>
      <c r="E313" s="3">
        <v>87.44</v>
      </c>
      <c r="F313" s="3">
        <v>105.38</v>
      </c>
      <c r="G313" s="3">
        <v>83.0</v>
      </c>
    </row>
    <row r="314">
      <c r="A314" s="2">
        <v>43709.0</v>
      </c>
      <c r="B314" s="3">
        <v>2019.0</v>
      </c>
      <c r="C314" s="3">
        <v>9.0</v>
      </c>
      <c r="D314" s="3" t="s">
        <v>8</v>
      </c>
      <c r="E314" s="3">
        <v>76.99</v>
      </c>
      <c r="F314" s="3">
        <v>93.74</v>
      </c>
      <c r="G314" s="3">
        <v>82.1</v>
      </c>
    </row>
    <row r="315">
      <c r="A315" s="4">
        <v>43739.0</v>
      </c>
      <c r="B315" s="3">
        <v>2019.0</v>
      </c>
      <c r="C315" s="3">
        <v>10.0</v>
      </c>
      <c r="D315" s="3" t="s">
        <v>8</v>
      </c>
      <c r="E315" s="3">
        <v>66.6</v>
      </c>
      <c r="F315" s="3">
        <v>80.79</v>
      </c>
      <c r="G315" s="3">
        <v>82.4</v>
      </c>
    </row>
    <row r="316">
      <c r="A316" s="4">
        <v>43770.0</v>
      </c>
      <c r="B316" s="3">
        <v>2019.0</v>
      </c>
      <c r="C316" s="3">
        <v>11.0</v>
      </c>
      <c r="D316" s="3" t="s">
        <v>8</v>
      </c>
      <c r="E316" s="3">
        <v>56.12</v>
      </c>
      <c r="F316" s="3">
        <v>67.52</v>
      </c>
      <c r="G316" s="3">
        <v>83.1</v>
      </c>
    </row>
    <row r="317">
      <c r="A317" s="4">
        <v>43800.0</v>
      </c>
      <c r="B317" s="3">
        <v>2019.0</v>
      </c>
      <c r="C317" s="3">
        <v>12.0</v>
      </c>
      <c r="D317" s="3" t="s">
        <v>8</v>
      </c>
      <c r="E317" s="3">
        <v>44.38</v>
      </c>
      <c r="F317" s="3">
        <v>55.21</v>
      </c>
      <c r="G317" s="3">
        <v>80.4</v>
      </c>
    </row>
    <row r="318">
      <c r="A318" s="2">
        <v>43831.0</v>
      </c>
      <c r="B318" s="3">
        <v>2020.0</v>
      </c>
      <c r="C318" s="3">
        <v>1.0</v>
      </c>
      <c r="D318" s="3" t="s">
        <v>8</v>
      </c>
      <c r="E318" s="3">
        <v>35.75</v>
      </c>
      <c r="F318" s="3">
        <v>43.62</v>
      </c>
      <c r="G318" s="3">
        <v>81.9</v>
      </c>
    </row>
    <row r="319">
      <c r="A319" s="2">
        <v>43862.0</v>
      </c>
      <c r="B319" s="3">
        <v>2020.0</v>
      </c>
      <c r="C319" s="3">
        <v>2.0</v>
      </c>
      <c r="D319" s="3" t="s">
        <v>8</v>
      </c>
      <c r="E319" s="3">
        <v>36.8</v>
      </c>
      <c r="F319" s="3">
        <v>42.58</v>
      </c>
      <c r="G319" s="3">
        <v>86.4</v>
      </c>
    </row>
    <row r="320">
      <c r="A320" s="2">
        <v>43891.0</v>
      </c>
      <c r="B320" s="3">
        <v>2020.0</v>
      </c>
      <c r="C320" s="3">
        <v>3.0</v>
      </c>
      <c r="D320" s="3" t="s">
        <v>8</v>
      </c>
      <c r="E320" s="3">
        <v>5.79</v>
      </c>
      <c r="F320" s="3">
        <v>10.53</v>
      </c>
      <c r="G320" s="3">
        <v>55.0</v>
      </c>
    </row>
    <row r="321">
      <c r="A321" s="2">
        <v>43922.0</v>
      </c>
      <c r="B321" s="3">
        <v>2020.0</v>
      </c>
      <c r="C321" s="3">
        <v>4.0</v>
      </c>
      <c r="D321" s="3" t="s">
        <v>8</v>
      </c>
      <c r="E321" s="3">
        <v>6.75</v>
      </c>
      <c r="F321" s="3">
        <v>12.28</v>
      </c>
      <c r="G321" s="3">
        <v>55.0</v>
      </c>
    </row>
    <row r="322">
      <c r="A322" s="2">
        <v>43952.0</v>
      </c>
      <c r="B322" s="3">
        <v>2020.0</v>
      </c>
      <c r="C322" s="3">
        <v>5.0</v>
      </c>
      <c r="D322" s="3" t="s">
        <v>8</v>
      </c>
      <c r="E322" s="3">
        <v>7.91</v>
      </c>
      <c r="F322" s="3">
        <v>14.38</v>
      </c>
      <c r="G322" s="3">
        <v>55.0</v>
      </c>
    </row>
    <row r="323">
      <c r="A323" s="2">
        <v>43983.0</v>
      </c>
      <c r="B323" s="3">
        <v>2020.0</v>
      </c>
      <c r="C323" s="3">
        <v>6.0</v>
      </c>
      <c r="D323" s="3" t="s">
        <v>8</v>
      </c>
      <c r="E323" s="3">
        <v>8.34</v>
      </c>
      <c r="F323" s="3">
        <v>15.16</v>
      </c>
      <c r="G323" s="3">
        <v>55.0</v>
      </c>
    </row>
    <row r="324">
      <c r="A324" s="2">
        <v>44013.0</v>
      </c>
      <c r="B324" s="3">
        <v>2020.0</v>
      </c>
      <c r="C324" s="3">
        <v>7.0</v>
      </c>
      <c r="D324" s="3" t="s">
        <v>8</v>
      </c>
      <c r="E324" s="3">
        <v>59.54</v>
      </c>
      <c r="F324" s="3">
        <v>108.25</v>
      </c>
      <c r="G324" s="3">
        <v>55.0</v>
      </c>
    </row>
    <row r="325">
      <c r="A325" s="2">
        <v>44044.0</v>
      </c>
      <c r="B325" s="3">
        <v>2020.0</v>
      </c>
      <c r="C325" s="3">
        <v>8.0</v>
      </c>
      <c r="D325" s="3" t="s">
        <v>8</v>
      </c>
      <c r="E325" s="3">
        <v>22.83</v>
      </c>
      <c r="F325" s="3">
        <v>41.5</v>
      </c>
      <c r="G325" s="3">
        <v>55.0</v>
      </c>
    </row>
    <row r="326">
      <c r="A326" s="2">
        <v>44075.0</v>
      </c>
      <c r="B326" s="3">
        <v>2020.0</v>
      </c>
      <c r="C326" s="3">
        <v>9.0</v>
      </c>
      <c r="D326" s="3" t="s">
        <v>8</v>
      </c>
      <c r="E326" s="3">
        <v>23.55</v>
      </c>
      <c r="F326" s="3">
        <v>42.81</v>
      </c>
      <c r="G326" s="3">
        <v>55.0</v>
      </c>
    </row>
    <row r="327">
      <c r="A327" s="4">
        <v>44105.0</v>
      </c>
      <c r="B327" s="3">
        <v>2020.0</v>
      </c>
      <c r="C327" s="3">
        <v>10.0</v>
      </c>
      <c r="D327" s="3" t="s">
        <v>8</v>
      </c>
      <c r="E327" s="3">
        <v>22.12</v>
      </c>
      <c r="F327" s="3">
        <v>40.22</v>
      </c>
      <c r="G327" s="3">
        <v>55.0</v>
      </c>
    </row>
    <row r="328">
      <c r="A328" s="4">
        <v>44136.0</v>
      </c>
      <c r="B328" s="3">
        <v>2020.0</v>
      </c>
      <c r="C328" s="3">
        <v>11.0</v>
      </c>
      <c r="D328" s="3" t="s">
        <v>8</v>
      </c>
      <c r="E328" s="3">
        <v>21.75</v>
      </c>
      <c r="F328" s="3">
        <v>39.55</v>
      </c>
      <c r="G328" s="3">
        <v>55.0</v>
      </c>
    </row>
    <row r="329">
      <c r="A329" s="4">
        <v>44166.0</v>
      </c>
      <c r="B329" s="3">
        <v>2020.0</v>
      </c>
      <c r="C329" s="3">
        <v>12.0</v>
      </c>
      <c r="D329" s="3" t="s">
        <v>8</v>
      </c>
      <c r="E329" s="3">
        <v>20.12</v>
      </c>
      <c r="F329" s="3">
        <v>36.58</v>
      </c>
      <c r="G329" s="3">
        <v>55.0</v>
      </c>
    </row>
    <row r="330">
      <c r="A330" s="2">
        <v>44197.0</v>
      </c>
      <c r="B330" s="3">
        <v>2021.0</v>
      </c>
      <c r="C330" s="3">
        <v>1.0</v>
      </c>
      <c r="D330" s="3" t="s">
        <v>8</v>
      </c>
      <c r="E330" s="3">
        <v>58.62</v>
      </c>
      <c r="F330" s="3">
        <v>72.12</v>
      </c>
      <c r="G330" s="3">
        <v>81.3</v>
      </c>
    </row>
    <row r="331">
      <c r="A331" s="2">
        <v>44228.0</v>
      </c>
      <c r="B331" s="3">
        <v>2021.0</v>
      </c>
      <c r="C331" s="3">
        <v>2.0</v>
      </c>
      <c r="D331" s="3" t="s">
        <v>8</v>
      </c>
      <c r="E331" s="3">
        <v>25.93</v>
      </c>
      <c r="F331" s="3">
        <v>31.68</v>
      </c>
      <c r="G331" s="3">
        <v>81.9</v>
      </c>
    </row>
    <row r="332">
      <c r="A332" s="2">
        <v>44256.0</v>
      </c>
      <c r="B332" s="3">
        <v>2021.0</v>
      </c>
      <c r="C332" s="3">
        <v>3.0</v>
      </c>
      <c r="D332" s="3" t="s">
        <v>8</v>
      </c>
      <c r="E332" s="3">
        <v>27.85</v>
      </c>
      <c r="F332" s="3">
        <v>34.68</v>
      </c>
      <c r="G332" s="3">
        <v>80.3</v>
      </c>
    </row>
    <row r="333">
      <c r="A333" s="2">
        <v>44287.0</v>
      </c>
      <c r="B333" s="3">
        <v>2021.0</v>
      </c>
      <c r="C333" s="3">
        <v>4.0</v>
      </c>
      <c r="D333" s="3" t="s">
        <v>8</v>
      </c>
      <c r="E333" s="3">
        <v>28.87</v>
      </c>
      <c r="F333" s="3">
        <v>35.01</v>
      </c>
      <c r="G333" s="3">
        <v>82.4</v>
      </c>
    </row>
    <row r="334">
      <c r="A334" s="2">
        <v>44317.0</v>
      </c>
      <c r="B334" s="3">
        <v>2021.0</v>
      </c>
      <c r="C334" s="3">
        <v>5.0</v>
      </c>
      <c r="D334" s="3" t="s">
        <v>8</v>
      </c>
      <c r="E334" s="3">
        <v>33.75</v>
      </c>
      <c r="F334" s="3">
        <v>40.83</v>
      </c>
      <c r="G334" s="3">
        <v>82.7</v>
      </c>
    </row>
    <row r="335">
      <c r="A335" s="2">
        <v>44348.0</v>
      </c>
      <c r="B335" s="3">
        <v>2021.0</v>
      </c>
      <c r="C335" s="3">
        <v>6.0</v>
      </c>
      <c r="D335" s="3" t="s">
        <v>8</v>
      </c>
      <c r="E335" s="3">
        <v>35.75</v>
      </c>
      <c r="F335" s="3">
        <v>42.88</v>
      </c>
      <c r="G335" s="3">
        <v>83.4</v>
      </c>
    </row>
    <row r="336">
      <c r="A336" s="2">
        <v>44378.0</v>
      </c>
      <c r="B336" s="3">
        <v>2021.0</v>
      </c>
      <c r="C336" s="3">
        <v>7.0</v>
      </c>
      <c r="D336" s="3" t="s">
        <v>8</v>
      </c>
      <c r="E336" s="3">
        <v>85.91</v>
      </c>
      <c r="F336" s="3">
        <v>106.12</v>
      </c>
      <c r="G336" s="3">
        <v>81.0</v>
      </c>
    </row>
    <row r="337">
      <c r="A337" s="2">
        <v>44409.0</v>
      </c>
      <c r="B337" s="3">
        <v>2021.0</v>
      </c>
      <c r="C337" s="3">
        <v>8.0</v>
      </c>
      <c r="D337" s="3" t="s">
        <v>8</v>
      </c>
      <c r="E337" s="3">
        <v>57.98</v>
      </c>
      <c r="F337" s="3">
        <v>68.53</v>
      </c>
      <c r="G337" s="3">
        <v>84.6</v>
      </c>
    </row>
    <row r="338">
      <c r="A338" s="2">
        <v>44440.0</v>
      </c>
      <c r="B338" s="3">
        <v>2021.0</v>
      </c>
      <c r="C338" s="3">
        <v>9.0</v>
      </c>
      <c r="D338" s="3" t="s">
        <v>8</v>
      </c>
      <c r="E338" s="3">
        <v>61.25</v>
      </c>
      <c r="F338" s="3">
        <v>73.61</v>
      </c>
      <c r="G338" s="3">
        <v>83.2</v>
      </c>
    </row>
    <row r="339">
      <c r="A339" s="4">
        <v>44470.0</v>
      </c>
      <c r="B339" s="3">
        <v>2021.0</v>
      </c>
      <c r="C339" s="3">
        <v>10.0</v>
      </c>
      <c r="D339" s="3" t="s">
        <v>8</v>
      </c>
      <c r="E339" s="3">
        <v>60.84</v>
      </c>
      <c r="F339" s="3">
        <v>69.43</v>
      </c>
      <c r="G339" s="3">
        <v>87.6</v>
      </c>
    </row>
    <row r="340">
      <c r="A340" s="4">
        <v>44501.0</v>
      </c>
      <c r="B340" s="3">
        <v>2021.0</v>
      </c>
      <c r="C340" s="3">
        <v>11.0</v>
      </c>
      <c r="D340" s="3" t="s">
        <v>8</v>
      </c>
      <c r="E340" s="3">
        <v>53.05</v>
      </c>
      <c r="F340" s="3">
        <v>65.89</v>
      </c>
      <c r="G340" s="3">
        <v>80.5</v>
      </c>
    </row>
    <row r="341">
      <c r="A341" s="4">
        <v>44531.0</v>
      </c>
      <c r="B341" s="3">
        <v>2021.0</v>
      </c>
      <c r="C341" s="3">
        <v>12.0</v>
      </c>
      <c r="D341" s="3" t="s">
        <v>8</v>
      </c>
      <c r="E341" s="3">
        <v>51.92</v>
      </c>
      <c r="F341" s="3">
        <v>64.65</v>
      </c>
      <c r="G341" s="3">
        <v>80.3</v>
      </c>
    </row>
    <row r="342">
      <c r="A342" s="2">
        <v>44562.0</v>
      </c>
      <c r="B342" s="3">
        <v>2022.0</v>
      </c>
      <c r="C342" s="3">
        <v>1.0</v>
      </c>
      <c r="D342" s="3" t="s">
        <v>8</v>
      </c>
      <c r="E342" s="3">
        <v>75.82</v>
      </c>
      <c r="F342" s="3">
        <v>93.14</v>
      </c>
      <c r="G342" s="3">
        <v>81.4</v>
      </c>
    </row>
    <row r="343">
      <c r="A343" s="2">
        <v>44593.0</v>
      </c>
      <c r="B343" s="3">
        <v>2022.0</v>
      </c>
      <c r="C343" s="3">
        <v>2.0</v>
      </c>
      <c r="D343" s="3" t="s">
        <v>8</v>
      </c>
      <c r="E343" s="3">
        <v>74.82</v>
      </c>
      <c r="F343" s="3">
        <v>90.5</v>
      </c>
      <c r="G343" s="3">
        <v>82.7</v>
      </c>
    </row>
    <row r="344">
      <c r="A344" s="2">
        <v>44621.0</v>
      </c>
      <c r="B344" s="3">
        <v>2022.0</v>
      </c>
      <c r="C344" s="3">
        <v>3.0</v>
      </c>
      <c r="D344" s="3" t="s">
        <v>8</v>
      </c>
      <c r="E344" s="3">
        <v>80.68</v>
      </c>
      <c r="F344" s="3">
        <v>97.25</v>
      </c>
      <c r="G344" s="3">
        <v>83.0</v>
      </c>
    </row>
    <row r="345">
      <c r="A345" s="2">
        <v>44652.0</v>
      </c>
      <c r="B345" s="3">
        <v>2022.0</v>
      </c>
      <c r="C345" s="3">
        <v>4.0</v>
      </c>
      <c r="D345" s="3" t="s">
        <v>8</v>
      </c>
      <c r="E345" s="3">
        <v>88.17</v>
      </c>
      <c r="F345" s="3">
        <v>105.96</v>
      </c>
      <c r="G345" s="3">
        <v>83.2</v>
      </c>
    </row>
    <row r="346">
      <c r="A346" s="2">
        <v>44682.0</v>
      </c>
      <c r="B346" s="3">
        <v>2022.0</v>
      </c>
      <c r="C346" s="3">
        <v>5.0</v>
      </c>
      <c r="D346" s="3" t="s">
        <v>8</v>
      </c>
      <c r="E346" s="3">
        <v>94.11</v>
      </c>
      <c r="F346" s="3">
        <v>109.12</v>
      </c>
      <c r="G346" s="3">
        <v>86.2</v>
      </c>
    </row>
    <row r="347">
      <c r="A347" s="2">
        <v>44713.0</v>
      </c>
      <c r="B347" s="3">
        <v>2022.0</v>
      </c>
      <c r="C347" s="3">
        <v>6.0</v>
      </c>
      <c r="D347" s="3" t="s">
        <v>8</v>
      </c>
      <c r="E347" s="3">
        <v>104.42</v>
      </c>
      <c r="F347" s="3">
        <v>133.41</v>
      </c>
      <c r="G347" s="3">
        <v>78.3</v>
      </c>
    </row>
    <row r="348">
      <c r="A348" s="2">
        <v>44743.0</v>
      </c>
      <c r="B348" s="3">
        <v>2022.0</v>
      </c>
      <c r="C348" s="3">
        <v>7.0</v>
      </c>
      <c r="D348" s="3" t="s">
        <v>8</v>
      </c>
      <c r="E348" s="3">
        <v>107.18</v>
      </c>
      <c r="F348" s="3">
        <v>136.5</v>
      </c>
      <c r="G348" s="3">
        <v>78.5</v>
      </c>
    </row>
    <row r="349">
      <c r="A349" s="2">
        <v>44774.0</v>
      </c>
      <c r="B349" s="3">
        <v>2022.0</v>
      </c>
      <c r="C349" s="3">
        <v>8.0</v>
      </c>
      <c r="D349" s="3" t="s">
        <v>8</v>
      </c>
      <c r="E349" s="3">
        <v>113.96</v>
      </c>
      <c r="F349" s="3">
        <v>139.39</v>
      </c>
      <c r="G349" s="3">
        <v>81.8</v>
      </c>
    </row>
    <row r="350">
      <c r="A350" s="2">
        <v>44805.0</v>
      </c>
      <c r="B350" s="3">
        <v>2022.0</v>
      </c>
      <c r="C350" s="3">
        <v>9.0</v>
      </c>
      <c r="D350" s="3" t="s">
        <v>8</v>
      </c>
      <c r="E350" s="3">
        <v>111.79</v>
      </c>
      <c r="F350" s="3">
        <v>129.95</v>
      </c>
      <c r="G350" s="3">
        <v>86.0</v>
      </c>
    </row>
    <row r="351">
      <c r="A351" s="4">
        <v>44835.0</v>
      </c>
      <c r="B351" s="3">
        <v>2022.0</v>
      </c>
      <c r="C351" s="3">
        <v>10.0</v>
      </c>
      <c r="D351" s="3" t="s">
        <v>8</v>
      </c>
      <c r="E351" s="3">
        <v>111.06</v>
      </c>
      <c r="F351" s="3">
        <v>133.08</v>
      </c>
      <c r="G351" s="3">
        <v>83.5</v>
      </c>
    </row>
    <row r="352">
      <c r="A352" s="4">
        <v>44866.0</v>
      </c>
      <c r="B352" s="3">
        <v>2022.0</v>
      </c>
      <c r="C352" s="3">
        <v>11.0</v>
      </c>
      <c r="D352" s="3" t="s">
        <v>8</v>
      </c>
      <c r="E352" s="3">
        <v>100.08</v>
      </c>
      <c r="F352" s="3">
        <v>125.1</v>
      </c>
      <c r="G352" s="3">
        <v>80.0</v>
      </c>
    </row>
    <row r="353">
      <c r="A353" s="4">
        <v>44896.0</v>
      </c>
      <c r="B353" s="3">
        <v>2022.0</v>
      </c>
      <c r="C353" s="3">
        <v>12.0</v>
      </c>
      <c r="D353" s="3" t="s">
        <v>8</v>
      </c>
      <c r="E353" s="3">
        <v>96.5</v>
      </c>
      <c r="F353" s="3">
        <v>117.19</v>
      </c>
      <c r="G353" s="3">
        <v>82.3</v>
      </c>
    </row>
    <row r="354">
      <c r="A354" s="2">
        <v>44927.0</v>
      </c>
      <c r="B354" s="3">
        <v>2023.0</v>
      </c>
      <c r="C354" s="3">
        <v>1.0</v>
      </c>
      <c r="D354" s="3" t="s">
        <v>8</v>
      </c>
      <c r="E354" s="3">
        <v>86.82</v>
      </c>
      <c r="F354" s="3">
        <v>106.35</v>
      </c>
      <c r="G354" s="3">
        <v>81.6</v>
      </c>
    </row>
    <row r="355">
      <c r="A355" s="2">
        <v>44958.0</v>
      </c>
      <c r="B355" s="3">
        <v>2023.0</v>
      </c>
      <c r="C355" s="3">
        <v>2.0</v>
      </c>
      <c r="D355" s="3" t="s">
        <v>8</v>
      </c>
      <c r="E355" s="3">
        <v>90.81</v>
      </c>
      <c r="F355" s="3">
        <v>111.33</v>
      </c>
      <c r="G355" s="3">
        <v>81.6</v>
      </c>
    </row>
    <row r="356">
      <c r="A356" s="2">
        <v>44986.0</v>
      </c>
      <c r="B356" s="3">
        <v>2023.0</v>
      </c>
      <c r="C356" s="3">
        <v>3.0</v>
      </c>
      <c r="D356" s="3" t="s">
        <v>8</v>
      </c>
      <c r="E356" s="3">
        <v>91.78</v>
      </c>
      <c r="F356" s="3">
        <v>113.41</v>
      </c>
      <c r="G356" s="3">
        <v>80.9</v>
      </c>
    </row>
    <row r="357">
      <c r="A357" s="2">
        <v>45017.0</v>
      </c>
      <c r="B357" s="3">
        <v>2023.0</v>
      </c>
      <c r="C357" s="3">
        <v>4.0</v>
      </c>
      <c r="D357" s="3" t="s">
        <v>8</v>
      </c>
      <c r="E357" s="3">
        <v>100.64</v>
      </c>
      <c r="F357" s="3">
        <v>122.46</v>
      </c>
      <c r="G357" s="3">
        <v>82.2</v>
      </c>
    </row>
    <row r="358">
      <c r="A358" s="2">
        <v>45047.0</v>
      </c>
      <c r="B358" s="3">
        <v>2023.0</v>
      </c>
      <c r="C358" s="3">
        <v>5.0</v>
      </c>
      <c r="D358" s="3" t="s">
        <v>8</v>
      </c>
      <c r="E358" s="3">
        <v>112.69</v>
      </c>
      <c r="F358" s="3">
        <v>133.9</v>
      </c>
      <c r="G358" s="3">
        <v>84.2</v>
      </c>
    </row>
    <row r="359">
      <c r="A359" s="2">
        <v>45078.0</v>
      </c>
      <c r="B359" s="3">
        <v>2023.0</v>
      </c>
      <c r="C359" s="3">
        <v>6.0</v>
      </c>
      <c r="D359" s="3" t="s">
        <v>8</v>
      </c>
      <c r="E359" s="3">
        <v>119.3</v>
      </c>
      <c r="F359" s="3">
        <v>147.12</v>
      </c>
      <c r="G359" s="3">
        <v>81.1</v>
      </c>
    </row>
    <row r="360">
      <c r="A360" s="2">
        <v>45108.0</v>
      </c>
      <c r="B360" s="3">
        <v>2023.0</v>
      </c>
      <c r="C360" s="3">
        <v>7.0</v>
      </c>
      <c r="D360" s="3" t="s">
        <v>8</v>
      </c>
      <c r="E360" s="3">
        <v>129.65</v>
      </c>
      <c r="F360" s="3">
        <v>155.79</v>
      </c>
      <c r="G360" s="3">
        <v>83.2</v>
      </c>
    </row>
    <row r="361">
      <c r="A361" s="2">
        <v>45139.0</v>
      </c>
      <c r="B361" s="3">
        <v>2023.0</v>
      </c>
      <c r="C361" s="3">
        <v>8.0</v>
      </c>
      <c r="D361" s="3" t="s">
        <v>8</v>
      </c>
      <c r="E361" s="3">
        <v>130.02</v>
      </c>
      <c r="F361" s="3">
        <v>155.56</v>
      </c>
      <c r="G361" s="3">
        <v>83.6</v>
      </c>
    </row>
    <row r="362">
      <c r="A362" s="2">
        <v>45170.0</v>
      </c>
      <c r="B362" s="3">
        <v>2023.0</v>
      </c>
      <c r="C362" s="3">
        <v>9.0</v>
      </c>
      <c r="D362" s="3" t="s">
        <v>8</v>
      </c>
      <c r="E362" s="3">
        <v>134.78</v>
      </c>
      <c r="F362" s="3">
        <v>159.35</v>
      </c>
      <c r="G362" s="3">
        <v>84.6</v>
      </c>
    </row>
    <row r="363">
      <c r="A363" s="4">
        <v>45200.0</v>
      </c>
      <c r="B363" s="3">
        <v>2023.0</v>
      </c>
      <c r="C363" s="3">
        <v>10.0</v>
      </c>
      <c r="D363" s="3" t="s">
        <v>8</v>
      </c>
      <c r="E363" s="3">
        <v>132.81</v>
      </c>
      <c r="F363" s="3">
        <v>165.46</v>
      </c>
      <c r="G363" s="3">
        <v>80.3</v>
      </c>
    </row>
    <row r="364">
      <c r="A364" s="4">
        <v>45231.0</v>
      </c>
      <c r="B364" s="3">
        <v>2023.0</v>
      </c>
      <c r="C364" s="3">
        <v>11.0</v>
      </c>
      <c r="D364" s="3" t="s">
        <v>8</v>
      </c>
      <c r="E364" s="3">
        <v>118.47</v>
      </c>
      <c r="F364" s="3">
        <v>144.43</v>
      </c>
      <c r="G364" s="3">
        <v>82.0</v>
      </c>
    </row>
    <row r="365">
      <c r="A365" s="4">
        <v>45261.0</v>
      </c>
      <c r="B365" s="3">
        <v>2023.0</v>
      </c>
      <c r="C365" s="3">
        <v>12.0</v>
      </c>
      <c r="D365" s="3" t="s">
        <v>8</v>
      </c>
      <c r="E365" s="3">
        <v>110.4</v>
      </c>
      <c r="F365" s="3">
        <v>136.81</v>
      </c>
      <c r="G365" s="3">
        <v>80.7</v>
      </c>
    </row>
    <row r="366">
      <c r="A366" s="2">
        <v>45292.0</v>
      </c>
      <c r="B366" s="3">
        <v>2024.0</v>
      </c>
      <c r="C366" s="3">
        <v>1.0</v>
      </c>
      <c r="D366" s="3" t="s">
        <v>8</v>
      </c>
      <c r="E366" s="3">
        <v>100.69</v>
      </c>
      <c r="F366" s="3">
        <v>122.52</v>
      </c>
      <c r="G366" s="3">
        <v>82.2</v>
      </c>
    </row>
    <row r="367">
      <c r="A367" s="2">
        <v>45323.0</v>
      </c>
      <c r="B367" s="3">
        <v>2024.0</v>
      </c>
      <c r="C367" s="3">
        <v>2.0</v>
      </c>
      <c r="D367" s="3" t="s">
        <v>8</v>
      </c>
      <c r="E367" s="3">
        <v>100.82</v>
      </c>
      <c r="F367" s="3">
        <v>122.69</v>
      </c>
      <c r="G367" s="3">
        <v>82.2</v>
      </c>
    </row>
    <row r="368">
      <c r="A368" s="2">
        <v>45352.0</v>
      </c>
      <c r="B368" s="3">
        <v>2024.0</v>
      </c>
      <c r="C368" s="3">
        <v>3.0</v>
      </c>
      <c r="D368" s="3" t="s">
        <v>8</v>
      </c>
      <c r="E368" s="3">
        <v>103.44</v>
      </c>
      <c r="F368" s="3">
        <v>129.62</v>
      </c>
      <c r="G368" s="3">
        <v>79.8</v>
      </c>
    </row>
    <row r="369">
      <c r="A369" s="2">
        <v>45383.0</v>
      </c>
      <c r="B369" s="3">
        <v>2024.0</v>
      </c>
      <c r="C369" s="3">
        <v>4.0</v>
      </c>
      <c r="D369" s="3" t="s">
        <v>8</v>
      </c>
      <c r="E369" s="3">
        <v>113.76</v>
      </c>
      <c r="F369" s="3">
        <v>138.23</v>
      </c>
      <c r="G369" s="3">
        <v>82.3</v>
      </c>
    </row>
    <row r="370">
      <c r="A370" s="2">
        <v>45413.0</v>
      </c>
      <c r="B370" s="3">
        <v>2024.0</v>
      </c>
      <c r="C370" s="3">
        <v>5.0</v>
      </c>
      <c r="D370" s="3" t="s">
        <v>8</v>
      </c>
      <c r="E370" s="3">
        <v>124.65</v>
      </c>
      <c r="F370" s="3">
        <v>144.32</v>
      </c>
      <c r="G370" s="3">
        <v>86.4</v>
      </c>
    </row>
    <row r="371">
      <c r="A371" s="2">
        <v>45444.0</v>
      </c>
      <c r="B371" s="3">
        <v>2024.0</v>
      </c>
      <c r="C371" s="3">
        <v>6.0</v>
      </c>
      <c r="D371" s="3" t="s">
        <v>8</v>
      </c>
      <c r="E371" s="3">
        <v>133.19</v>
      </c>
      <c r="F371" s="3">
        <v>160.53</v>
      </c>
      <c r="G371" s="3">
        <v>83.0</v>
      </c>
    </row>
    <row r="372">
      <c r="A372" s="2">
        <v>45474.0</v>
      </c>
      <c r="B372" s="3">
        <v>2024.0</v>
      </c>
      <c r="C372" s="3">
        <v>7.0</v>
      </c>
      <c r="D372" s="3" t="s">
        <v>8</v>
      </c>
      <c r="E372" s="3">
        <v>134.83</v>
      </c>
      <c r="F372" s="3">
        <v>169.76</v>
      </c>
      <c r="G372" s="3">
        <v>79.4</v>
      </c>
    </row>
    <row r="373">
      <c r="A373" s="2">
        <v>45505.0</v>
      </c>
      <c r="B373" s="3">
        <v>2024.0</v>
      </c>
      <c r="C373" s="3">
        <v>8.0</v>
      </c>
      <c r="D373" s="3" t="s">
        <v>8</v>
      </c>
      <c r="E373" s="3">
        <v>149.08</v>
      </c>
      <c r="F373" s="3">
        <v>186.0</v>
      </c>
      <c r="G373" s="3">
        <v>80.2</v>
      </c>
    </row>
    <row r="374">
      <c r="A374" s="2">
        <v>45536.0</v>
      </c>
      <c r="B374" s="3">
        <v>2024.0</v>
      </c>
      <c r="C374" s="3">
        <v>9.0</v>
      </c>
      <c r="D374" s="3" t="s">
        <v>8</v>
      </c>
      <c r="E374" s="3">
        <v>135.79</v>
      </c>
      <c r="F374" s="3">
        <v>165.75</v>
      </c>
      <c r="G374" s="3">
        <v>81.9</v>
      </c>
    </row>
    <row r="375">
      <c r="A375" s="4">
        <v>45566.0</v>
      </c>
      <c r="B375" s="3">
        <v>2024.0</v>
      </c>
      <c r="C375" s="3">
        <v>10.0</v>
      </c>
      <c r="D375" s="3" t="s">
        <v>8</v>
      </c>
      <c r="E375" s="3">
        <v>133.34</v>
      </c>
      <c r="F375" s="3">
        <v>166.27</v>
      </c>
      <c r="G375" s="3">
        <v>80.2</v>
      </c>
    </row>
    <row r="376">
      <c r="A376" s="4">
        <v>45597.0</v>
      </c>
      <c r="B376" s="3">
        <v>2024.0</v>
      </c>
      <c r="C376" s="3">
        <v>11.0</v>
      </c>
      <c r="D376" s="3" t="s">
        <v>8</v>
      </c>
      <c r="E376" s="3">
        <v>123.61</v>
      </c>
      <c r="F376" s="3">
        <v>146.36</v>
      </c>
      <c r="G376" s="3">
        <v>84.5</v>
      </c>
    </row>
    <row r="377">
      <c r="A377" s="4">
        <v>45627.0</v>
      </c>
      <c r="B377" s="3">
        <v>2024.0</v>
      </c>
      <c r="C377" s="3">
        <v>12.0</v>
      </c>
      <c r="D377" s="3" t="s">
        <v>8</v>
      </c>
      <c r="E377" s="3">
        <v>112.98</v>
      </c>
      <c r="F377" s="3">
        <v>142.62</v>
      </c>
      <c r="G377" s="3">
        <v>79.2</v>
      </c>
    </row>
    <row r="378">
      <c r="A378" s="2">
        <v>45658.0</v>
      </c>
      <c r="B378" s="3">
        <v>2025.0</v>
      </c>
      <c r="C378" s="3">
        <v>1.0</v>
      </c>
      <c r="D378" s="3" t="s">
        <v>8</v>
      </c>
      <c r="E378" s="3">
        <v>112.33</v>
      </c>
      <c r="F378" s="3">
        <v>135.36</v>
      </c>
      <c r="G378" s="3">
        <v>83.0</v>
      </c>
    </row>
    <row r="379">
      <c r="A379" s="2">
        <v>45689.0</v>
      </c>
      <c r="B379" s="3">
        <v>2025.0</v>
      </c>
      <c r="C379" s="3">
        <v>2.0</v>
      </c>
      <c r="D379" s="3" t="s">
        <v>8</v>
      </c>
      <c r="E379" s="3">
        <v>105.02</v>
      </c>
      <c r="F379" s="3">
        <v>133.21</v>
      </c>
      <c r="G379" s="3">
        <v>78.8</v>
      </c>
    </row>
    <row r="380">
      <c r="A380" s="2">
        <v>45717.0</v>
      </c>
      <c r="B380" s="3">
        <v>2025.0</v>
      </c>
      <c r="C380" s="3">
        <v>3.0</v>
      </c>
      <c r="D380" s="3" t="s">
        <v>8</v>
      </c>
      <c r="E380" s="3">
        <v>107.42</v>
      </c>
      <c r="F380" s="3">
        <v>131.18</v>
      </c>
      <c r="G380" s="3">
        <v>81.9</v>
      </c>
    </row>
    <row r="381">
      <c r="A381" s="2">
        <v>45748.0</v>
      </c>
      <c r="B381" s="3">
        <v>2025.0</v>
      </c>
      <c r="C381" s="3">
        <v>4.0</v>
      </c>
      <c r="D381" s="3" t="s">
        <v>8</v>
      </c>
      <c r="E381" s="3">
        <v>121.3</v>
      </c>
      <c r="F381" s="3">
        <v>151.76</v>
      </c>
      <c r="G381" s="3">
        <v>79.9</v>
      </c>
    </row>
    <row r="382">
      <c r="A382" s="2">
        <v>45778.0</v>
      </c>
      <c r="B382" s="3">
        <v>2025.0</v>
      </c>
      <c r="C382" s="3">
        <v>5.0</v>
      </c>
      <c r="D382" s="3" t="s">
        <v>8</v>
      </c>
      <c r="E382" s="3">
        <v>126.68</v>
      </c>
      <c r="F382" s="3">
        <v>151.98</v>
      </c>
      <c r="G382" s="3">
        <v>83.4</v>
      </c>
    </row>
    <row r="383">
      <c r="A383" s="2">
        <v>45809.0</v>
      </c>
      <c r="B383" s="3">
        <v>2025.0</v>
      </c>
      <c r="C383" s="3">
        <v>6.0</v>
      </c>
      <c r="D383" s="3" t="s">
        <v>8</v>
      </c>
      <c r="E383" s="3">
        <v>127.49</v>
      </c>
      <c r="F383" s="3">
        <v>151.65</v>
      </c>
      <c r="G383" s="3">
        <v>84.1</v>
      </c>
    </row>
    <row r="384">
      <c r="A384" s="2">
        <v>45839.0</v>
      </c>
      <c r="B384" s="3">
        <v>2025.0</v>
      </c>
      <c r="C384" s="3">
        <v>7.0</v>
      </c>
      <c r="D384" s="3" t="s">
        <v>8</v>
      </c>
      <c r="E384" s="3">
        <v>139.31</v>
      </c>
      <c r="F384" s="3">
        <v>168.53</v>
      </c>
      <c r="G384" s="3">
        <v>82.7</v>
      </c>
    </row>
    <row r="385">
      <c r="A385" s="2">
        <v>45870.0</v>
      </c>
      <c r="B385" s="3">
        <v>2025.0</v>
      </c>
      <c r="C385" s="3">
        <v>8.0</v>
      </c>
      <c r="D385" s="3" t="s">
        <v>8</v>
      </c>
      <c r="E385" s="3">
        <v>148.44</v>
      </c>
      <c r="F385" s="3">
        <v>176.36</v>
      </c>
      <c r="G385" s="3">
        <v>84.2</v>
      </c>
    </row>
    <row r="386">
      <c r="A386" s="2">
        <v>45901.0</v>
      </c>
      <c r="B386" s="3">
        <v>2025.0</v>
      </c>
      <c r="C386" s="3">
        <v>9.0</v>
      </c>
      <c r="D386" s="3" t="s">
        <v>8</v>
      </c>
      <c r="E386" s="3">
        <v>147.61</v>
      </c>
      <c r="F386" s="3">
        <v>191.1</v>
      </c>
      <c r="G386" s="3">
        <v>77.2</v>
      </c>
    </row>
    <row r="387">
      <c r="A387" s="4">
        <v>45931.0</v>
      </c>
      <c r="B387" s="3">
        <v>2025.0</v>
      </c>
      <c r="C387" s="3">
        <v>10.0</v>
      </c>
      <c r="D387" s="3" t="s">
        <v>8</v>
      </c>
      <c r="E387" s="3">
        <v>135.32</v>
      </c>
      <c r="F387" s="3">
        <v>164.47</v>
      </c>
      <c r="G387" s="3">
        <v>82.3</v>
      </c>
    </row>
    <row r="388">
      <c r="A388" s="4">
        <v>45962.0</v>
      </c>
      <c r="B388" s="3">
        <v>2025.0</v>
      </c>
      <c r="C388" s="3">
        <v>11.0</v>
      </c>
      <c r="D388" s="3" t="s">
        <v>8</v>
      </c>
      <c r="E388" s="3">
        <v>128.5</v>
      </c>
      <c r="F388" s="3">
        <v>154.9</v>
      </c>
      <c r="G388" s="3">
        <v>83.0</v>
      </c>
    </row>
    <row r="389">
      <c r="A389" s="4">
        <v>45992.0</v>
      </c>
      <c r="B389" s="3">
        <v>2025.0</v>
      </c>
      <c r="C389" s="3">
        <v>12.0</v>
      </c>
      <c r="D389" s="3" t="s">
        <v>8</v>
      </c>
      <c r="E389" s="3">
        <v>122.78</v>
      </c>
      <c r="F389" s="3">
        <v>147.54</v>
      </c>
      <c r="G389" s="3">
        <v>83.2</v>
      </c>
    </row>
    <row r="390">
      <c r="A390" s="2">
        <v>46023.0</v>
      </c>
      <c r="B390" s="3">
        <v>2026.0</v>
      </c>
      <c r="C390" s="3">
        <v>1.0</v>
      </c>
      <c r="D390" s="3" t="s">
        <v>8</v>
      </c>
      <c r="E390" s="3">
        <v>112.39</v>
      </c>
      <c r="F390" s="3">
        <v>143.52</v>
      </c>
      <c r="G390" s="3">
        <v>78.3</v>
      </c>
    </row>
    <row r="391">
      <c r="A391" s="2">
        <v>46054.0</v>
      </c>
      <c r="B391" s="3">
        <v>2026.0</v>
      </c>
      <c r="C391" s="3">
        <v>2.0</v>
      </c>
      <c r="D391" s="3" t="s">
        <v>8</v>
      </c>
      <c r="E391" s="3">
        <v>109.0</v>
      </c>
      <c r="F391" s="3">
        <v>131.59</v>
      </c>
      <c r="G391" s="3">
        <v>82.8</v>
      </c>
    </row>
    <row r="392">
      <c r="A392" s="2">
        <v>46082.0</v>
      </c>
      <c r="B392" s="3">
        <v>2026.0</v>
      </c>
      <c r="C392" s="3">
        <v>3.0</v>
      </c>
      <c r="D392" s="3" t="s">
        <v>8</v>
      </c>
      <c r="E392" s="3">
        <v>109.47</v>
      </c>
      <c r="F392" s="3">
        <v>131.48</v>
      </c>
      <c r="G392" s="3">
        <v>83.3</v>
      </c>
    </row>
    <row r="393">
      <c r="A393" s="2">
        <v>46113.0</v>
      </c>
      <c r="B393" s="3">
        <v>2026.0</v>
      </c>
      <c r="C393" s="3">
        <v>4.0</v>
      </c>
      <c r="D393" s="3" t="s">
        <v>8</v>
      </c>
      <c r="E393" s="3">
        <v>123.57</v>
      </c>
      <c r="F393" s="3">
        <v>150.23</v>
      </c>
      <c r="G393" s="3">
        <v>82.3</v>
      </c>
    </row>
    <row r="394">
      <c r="A394" s="2">
        <v>40179.0</v>
      </c>
      <c r="B394" s="3">
        <v>2010.0</v>
      </c>
      <c r="C394" s="3">
        <v>1.0</v>
      </c>
      <c r="D394" s="3" t="s">
        <v>9</v>
      </c>
      <c r="E394" s="3">
        <v>61.91</v>
      </c>
      <c r="F394" s="3">
        <v>77.93</v>
      </c>
      <c r="G394" s="3">
        <v>79.4</v>
      </c>
    </row>
    <row r="395">
      <c r="A395" s="2">
        <v>40210.0</v>
      </c>
      <c r="B395" s="3">
        <v>2010.0</v>
      </c>
      <c r="C395" s="3">
        <v>2.0</v>
      </c>
      <c r="D395" s="3" t="s">
        <v>9</v>
      </c>
      <c r="E395" s="3">
        <v>70.64</v>
      </c>
      <c r="F395" s="3">
        <v>87.31</v>
      </c>
      <c r="G395" s="3">
        <v>80.9</v>
      </c>
    </row>
    <row r="396">
      <c r="A396" s="2">
        <v>40238.0</v>
      </c>
      <c r="B396" s="3">
        <v>2010.0</v>
      </c>
      <c r="C396" s="3">
        <v>3.0</v>
      </c>
      <c r="D396" s="3" t="s">
        <v>9</v>
      </c>
      <c r="E396" s="3">
        <v>64.82</v>
      </c>
      <c r="F396" s="3">
        <v>76.74</v>
      </c>
      <c r="G396" s="3">
        <v>84.5</v>
      </c>
    </row>
    <row r="397">
      <c r="A397" s="2">
        <v>40269.0</v>
      </c>
      <c r="B397" s="3">
        <v>2010.0</v>
      </c>
      <c r="C397" s="3">
        <v>4.0</v>
      </c>
      <c r="D397" s="3" t="s">
        <v>9</v>
      </c>
      <c r="E397" s="3">
        <v>73.66</v>
      </c>
      <c r="F397" s="3">
        <v>87.47</v>
      </c>
      <c r="G397" s="3">
        <v>84.2</v>
      </c>
    </row>
    <row r="398">
      <c r="A398" s="2">
        <v>40299.0</v>
      </c>
      <c r="B398" s="3">
        <v>2010.0</v>
      </c>
      <c r="C398" s="3">
        <v>5.0</v>
      </c>
      <c r="D398" s="3" t="s">
        <v>9</v>
      </c>
      <c r="E398" s="3">
        <v>80.8</v>
      </c>
      <c r="F398" s="3">
        <v>97.45</v>
      </c>
      <c r="G398" s="3">
        <v>82.9</v>
      </c>
    </row>
    <row r="399">
      <c r="A399" s="2">
        <v>40330.0</v>
      </c>
      <c r="B399" s="3">
        <v>2010.0</v>
      </c>
      <c r="C399" s="3">
        <v>6.0</v>
      </c>
      <c r="D399" s="3" t="s">
        <v>9</v>
      </c>
      <c r="E399" s="3">
        <v>87.67</v>
      </c>
      <c r="F399" s="3">
        <v>105.12</v>
      </c>
      <c r="G399" s="3">
        <v>83.4</v>
      </c>
    </row>
    <row r="400">
      <c r="A400" s="2">
        <v>40360.0</v>
      </c>
      <c r="B400" s="3">
        <v>2010.0</v>
      </c>
      <c r="C400" s="3">
        <v>7.0</v>
      </c>
      <c r="D400" s="3" t="s">
        <v>9</v>
      </c>
      <c r="E400" s="3">
        <v>98.24</v>
      </c>
      <c r="F400" s="3">
        <v>117.03</v>
      </c>
      <c r="G400" s="3">
        <v>83.9</v>
      </c>
    </row>
    <row r="401">
      <c r="A401" s="2">
        <v>40391.0</v>
      </c>
      <c r="B401" s="3">
        <v>2010.0</v>
      </c>
      <c r="C401" s="3">
        <v>8.0</v>
      </c>
      <c r="D401" s="3" t="s">
        <v>9</v>
      </c>
      <c r="E401" s="3">
        <v>89.64</v>
      </c>
      <c r="F401" s="3">
        <v>108.14</v>
      </c>
      <c r="G401" s="3">
        <v>82.9</v>
      </c>
    </row>
    <row r="402">
      <c r="A402" s="2">
        <v>40422.0</v>
      </c>
      <c r="B402" s="3">
        <v>2010.0</v>
      </c>
      <c r="C402" s="3">
        <v>9.0</v>
      </c>
      <c r="D402" s="3" t="s">
        <v>9</v>
      </c>
      <c r="E402" s="3">
        <v>96.19</v>
      </c>
      <c r="F402" s="3">
        <v>113.96</v>
      </c>
      <c r="G402" s="3">
        <v>84.4</v>
      </c>
    </row>
    <row r="403">
      <c r="A403" s="4">
        <v>40452.0</v>
      </c>
      <c r="B403" s="3">
        <v>2010.0</v>
      </c>
      <c r="C403" s="3">
        <v>10.0</v>
      </c>
      <c r="D403" s="3" t="s">
        <v>9</v>
      </c>
      <c r="E403" s="3">
        <v>87.88</v>
      </c>
      <c r="F403" s="3">
        <v>104.21</v>
      </c>
      <c r="G403" s="3">
        <v>84.3</v>
      </c>
    </row>
    <row r="404">
      <c r="A404" s="4">
        <v>40483.0</v>
      </c>
      <c r="B404" s="3">
        <v>2010.0</v>
      </c>
      <c r="C404" s="3">
        <v>11.0</v>
      </c>
      <c r="D404" s="3" t="s">
        <v>9</v>
      </c>
      <c r="E404" s="3">
        <v>85.69</v>
      </c>
      <c r="F404" s="3">
        <v>98.32</v>
      </c>
      <c r="G404" s="3">
        <v>87.1</v>
      </c>
    </row>
    <row r="405">
      <c r="A405" s="4">
        <v>40513.0</v>
      </c>
      <c r="B405" s="3">
        <v>2010.0</v>
      </c>
      <c r="C405" s="3">
        <v>12.0</v>
      </c>
      <c r="D405" s="3" t="s">
        <v>9</v>
      </c>
      <c r="E405" s="3">
        <v>75.85</v>
      </c>
      <c r="F405" s="3">
        <v>93.66</v>
      </c>
      <c r="G405" s="3">
        <v>81.0</v>
      </c>
    </row>
    <row r="406">
      <c r="A406" s="2">
        <v>40544.0</v>
      </c>
      <c r="B406" s="3">
        <v>2011.0</v>
      </c>
      <c r="C406" s="3">
        <v>1.0</v>
      </c>
      <c r="D406" s="3" t="s">
        <v>9</v>
      </c>
      <c r="E406" s="3">
        <v>72.76</v>
      </c>
      <c r="F406" s="3">
        <v>89.81</v>
      </c>
      <c r="G406" s="3">
        <v>81.0</v>
      </c>
    </row>
    <row r="407">
      <c r="A407" s="2">
        <v>40575.0</v>
      </c>
      <c r="B407" s="3">
        <v>2011.0</v>
      </c>
      <c r="C407" s="3">
        <v>2.0</v>
      </c>
      <c r="D407" s="3" t="s">
        <v>9</v>
      </c>
      <c r="E407" s="3">
        <v>70.29</v>
      </c>
      <c r="F407" s="3">
        <v>91.91</v>
      </c>
      <c r="G407" s="3">
        <v>76.5</v>
      </c>
    </row>
    <row r="408">
      <c r="A408" s="2">
        <v>40603.0</v>
      </c>
      <c r="B408" s="3">
        <v>2011.0</v>
      </c>
      <c r="C408" s="3">
        <v>3.0</v>
      </c>
      <c r="D408" s="3" t="s">
        <v>9</v>
      </c>
      <c r="E408" s="3">
        <v>73.4</v>
      </c>
      <c r="F408" s="3">
        <v>88.71</v>
      </c>
      <c r="G408" s="3">
        <v>82.7</v>
      </c>
    </row>
    <row r="409">
      <c r="A409" s="2">
        <v>40634.0</v>
      </c>
      <c r="B409" s="3">
        <v>2011.0</v>
      </c>
      <c r="C409" s="3">
        <v>4.0</v>
      </c>
      <c r="D409" s="3" t="s">
        <v>9</v>
      </c>
      <c r="E409" s="3">
        <v>78.38</v>
      </c>
      <c r="F409" s="3">
        <v>91.28</v>
      </c>
      <c r="G409" s="3">
        <v>85.9</v>
      </c>
    </row>
    <row r="410">
      <c r="A410" s="2">
        <v>40664.0</v>
      </c>
      <c r="B410" s="3">
        <v>2011.0</v>
      </c>
      <c r="C410" s="3">
        <v>5.0</v>
      </c>
      <c r="D410" s="3" t="s">
        <v>9</v>
      </c>
      <c r="E410" s="3">
        <v>86.57</v>
      </c>
      <c r="F410" s="3">
        <v>102.35</v>
      </c>
      <c r="G410" s="3">
        <v>84.6</v>
      </c>
    </row>
    <row r="411">
      <c r="A411" s="2">
        <v>40695.0</v>
      </c>
      <c r="B411" s="3">
        <v>2011.0</v>
      </c>
      <c r="C411" s="3">
        <v>6.0</v>
      </c>
      <c r="D411" s="3" t="s">
        <v>9</v>
      </c>
      <c r="E411" s="3">
        <v>94.33</v>
      </c>
      <c r="F411" s="3">
        <v>112.77</v>
      </c>
      <c r="G411" s="3">
        <v>83.7</v>
      </c>
    </row>
    <row r="412">
      <c r="A412" s="2">
        <v>40725.0</v>
      </c>
      <c r="B412" s="3">
        <v>2011.0</v>
      </c>
      <c r="C412" s="3">
        <v>7.0</v>
      </c>
      <c r="D412" s="3" t="s">
        <v>9</v>
      </c>
      <c r="E412" s="3">
        <v>99.81</v>
      </c>
      <c r="F412" s="3">
        <v>117.79</v>
      </c>
      <c r="G412" s="3">
        <v>84.7</v>
      </c>
    </row>
    <row r="413">
      <c r="A413" s="2">
        <v>40756.0</v>
      </c>
      <c r="B413" s="3">
        <v>2011.0</v>
      </c>
      <c r="C413" s="3">
        <v>8.0</v>
      </c>
      <c r="D413" s="3" t="s">
        <v>9</v>
      </c>
      <c r="E413" s="3">
        <v>101.52</v>
      </c>
      <c r="F413" s="3">
        <v>122.33</v>
      </c>
      <c r="G413" s="3">
        <v>83.0</v>
      </c>
    </row>
    <row r="414">
      <c r="A414" s="2">
        <v>40787.0</v>
      </c>
      <c r="B414" s="3">
        <v>2011.0</v>
      </c>
      <c r="C414" s="3">
        <v>9.0</v>
      </c>
      <c r="D414" s="3" t="s">
        <v>9</v>
      </c>
      <c r="E414" s="3">
        <v>101.29</v>
      </c>
      <c r="F414" s="3">
        <v>124.4</v>
      </c>
      <c r="G414" s="3">
        <v>81.4</v>
      </c>
    </row>
    <row r="415">
      <c r="A415" s="4">
        <v>40817.0</v>
      </c>
      <c r="B415" s="3">
        <v>2011.0</v>
      </c>
      <c r="C415" s="3">
        <v>10.0</v>
      </c>
      <c r="D415" s="3" t="s">
        <v>9</v>
      </c>
      <c r="E415" s="3">
        <v>97.06</v>
      </c>
      <c r="F415" s="3">
        <v>112.25</v>
      </c>
      <c r="G415" s="3">
        <v>86.5</v>
      </c>
    </row>
    <row r="416">
      <c r="A416" s="4">
        <v>40848.0</v>
      </c>
      <c r="B416" s="3">
        <v>2011.0</v>
      </c>
      <c r="C416" s="3">
        <v>11.0</v>
      </c>
      <c r="D416" s="3" t="s">
        <v>9</v>
      </c>
      <c r="E416" s="3">
        <v>89.01</v>
      </c>
      <c r="F416" s="3">
        <v>107.45</v>
      </c>
      <c r="G416" s="3">
        <v>82.8</v>
      </c>
    </row>
    <row r="417">
      <c r="A417" s="4">
        <v>40878.0</v>
      </c>
      <c r="B417" s="3">
        <v>2011.0</v>
      </c>
      <c r="C417" s="3">
        <v>12.0</v>
      </c>
      <c r="D417" s="3" t="s">
        <v>9</v>
      </c>
      <c r="E417" s="3">
        <v>86.71</v>
      </c>
      <c r="F417" s="3">
        <v>102.88</v>
      </c>
      <c r="G417" s="3">
        <v>84.3</v>
      </c>
    </row>
    <row r="418">
      <c r="A418" s="2">
        <v>40909.0</v>
      </c>
      <c r="B418" s="3">
        <v>2012.0</v>
      </c>
      <c r="C418" s="3">
        <v>1.0</v>
      </c>
      <c r="D418" s="3" t="s">
        <v>9</v>
      </c>
      <c r="E418" s="3">
        <v>79.03</v>
      </c>
      <c r="F418" s="3">
        <v>102.33</v>
      </c>
      <c r="G418" s="3">
        <v>77.2</v>
      </c>
    </row>
    <row r="419">
      <c r="A419" s="2">
        <v>40940.0</v>
      </c>
      <c r="B419" s="3">
        <v>2012.0</v>
      </c>
      <c r="C419" s="3">
        <v>2.0</v>
      </c>
      <c r="D419" s="3" t="s">
        <v>9</v>
      </c>
      <c r="E419" s="3">
        <v>78.85</v>
      </c>
      <c r="F419" s="3">
        <v>101.66</v>
      </c>
      <c r="G419" s="3">
        <v>77.6</v>
      </c>
    </row>
    <row r="420">
      <c r="A420" s="2">
        <v>40969.0</v>
      </c>
      <c r="B420" s="3">
        <v>2012.0</v>
      </c>
      <c r="C420" s="3">
        <v>3.0</v>
      </c>
      <c r="D420" s="3" t="s">
        <v>9</v>
      </c>
      <c r="E420" s="3">
        <v>83.54</v>
      </c>
      <c r="F420" s="3">
        <v>101.45</v>
      </c>
      <c r="G420" s="3">
        <v>82.3</v>
      </c>
    </row>
    <row r="421">
      <c r="A421" s="2">
        <v>41000.0</v>
      </c>
      <c r="B421" s="3">
        <v>2012.0</v>
      </c>
      <c r="C421" s="3">
        <v>4.0</v>
      </c>
      <c r="D421" s="3" t="s">
        <v>9</v>
      </c>
      <c r="E421" s="3">
        <v>88.07</v>
      </c>
      <c r="F421" s="3">
        <v>109.82</v>
      </c>
      <c r="G421" s="3">
        <v>80.2</v>
      </c>
    </row>
    <row r="422">
      <c r="A422" s="2">
        <v>41030.0</v>
      </c>
      <c r="B422" s="3">
        <v>2012.0</v>
      </c>
      <c r="C422" s="3">
        <v>5.0</v>
      </c>
      <c r="D422" s="3" t="s">
        <v>9</v>
      </c>
      <c r="E422" s="3">
        <v>88.7</v>
      </c>
      <c r="F422" s="3">
        <v>107.49</v>
      </c>
      <c r="G422" s="3">
        <v>82.5</v>
      </c>
    </row>
    <row r="423">
      <c r="A423" s="2">
        <v>41061.0</v>
      </c>
      <c r="B423" s="3">
        <v>2012.0</v>
      </c>
      <c r="C423" s="3">
        <v>6.0</v>
      </c>
      <c r="D423" s="3" t="s">
        <v>9</v>
      </c>
      <c r="E423" s="3">
        <v>100.38</v>
      </c>
      <c r="F423" s="3">
        <v>123.89</v>
      </c>
      <c r="G423" s="3">
        <v>81.0</v>
      </c>
    </row>
    <row r="424">
      <c r="A424" s="2">
        <v>41091.0</v>
      </c>
      <c r="B424" s="3">
        <v>2012.0</v>
      </c>
      <c r="C424" s="3">
        <v>7.0</v>
      </c>
      <c r="D424" s="3" t="s">
        <v>9</v>
      </c>
      <c r="E424" s="3">
        <v>106.48</v>
      </c>
      <c r="F424" s="3">
        <v>121.64</v>
      </c>
      <c r="G424" s="3">
        <v>87.5</v>
      </c>
    </row>
    <row r="425">
      <c r="A425" s="2">
        <v>41122.0</v>
      </c>
      <c r="B425" s="3">
        <v>2012.0</v>
      </c>
      <c r="C425" s="3">
        <v>8.0</v>
      </c>
      <c r="D425" s="3" t="s">
        <v>9</v>
      </c>
      <c r="E425" s="3">
        <v>111.47</v>
      </c>
      <c r="F425" s="3">
        <v>132.55</v>
      </c>
      <c r="G425" s="3">
        <v>84.1</v>
      </c>
    </row>
    <row r="426">
      <c r="A426" s="2">
        <v>41153.0</v>
      </c>
      <c r="B426" s="3">
        <v>2012.0</v>
      </c>
      <c r="C426" s="3">
        <v>9.0</v>
      </c>
      <c r="D426" s="3" t="s">
        <v>9</v>
      </c>
      <c r="E426" s="3">
        <v>110.17</v>
      </c>
      <c r="F426" s="3">
        <v>129.67</v>
      </c>
      <c r="G426" s="3">
        <v>85.0</v>
      </c>
    </row>
    <row r="427">
      <c r="A427" s="4">
        <v>41183.0</v>
      </c>
      <c r="B427" s="3">
        <v>2012.0</v>
      </c>
      <c r="C427" s="3">
        <v>10.0</v>
      </c>
      <c r="D427" s="3" t="s">
        <v>9</v>
      </c>
      <c r="E427" s="3">
        <v>102.19</v>
      </c>
      <c r="F427" s="3">
        <v>131.19</v>
      </c>
      <c r="G427" s="3">
        <v>77.9</v>
      </c>
    </row>
    <row r="428">
      <c r="A428" s="4">
        <v>41214.0</v>
      </c>
      <c r="B428" s="3">
        <v>2012.0</v>
      </c>
      <c r="C428" s="3">
        <v>11.0</v>
      </c>
      <c r="D428" s="3" t="s">
        <v>9</v>
      </c>
      <c r="E428" s="3">
        <v>95.59</v>
      </c>
      <c r="F428" s="3">
        <v>114.31</v>
      </c>
      <c r="G428" s="3">
        <v>83.6</v>
      </c>
    </row>
    <row r="429">
      <c r="A429" s="4">
        <v>41244.0</v>
      </c>
      <c r="B429" s="3">
        <v>2012.0</v>
      </c>
      <c r="C429" s="3">
        <v>12.0</v>
      </c>
      <c r="D429" s="3" t="s">
        <v>9</v>
      </c>
      <c r="E429" s="3">
        <v>86.85</v>
      </c>
      <c r="F429" s="3">
        <v>106.38</v>
      </c>
      <c r="G429" s="3">
        <v>81.6</v>
      </c>
    </row>
    <row r="430">
      <c r="A430" s="2">
        <v>41275.0</v>
      </c>
      <c r="B430" s="3">
        <v>2013.0</v>
      </c>
      <c r="C430" s="3">
        <v>1.0</v>
      </c>
      <c r="D430" s="3" t="s">
        <v>9</v>
      </c>
      <c r="E430" s="3">
        <v>82.84</v>
      </c>
      <c r="F430" s="3">
        <v>97.45</v>
      </c>
      <c r="G430" s="3">
        <v>85.0</v>
      </c>
    </row>
    <row r="431">
      <c r="A431" s="2">
        <v>41306.0</v>
      </c>
      <c r="B431" s="3">
        <v>2013.0</v>
      </c>
      <c r="C431" s="3">
        <v>2.0</v>
      </c>
      <c r="D431" s="3" t="s">
        <v>9</v>
      </c>
      <c r="E431" s="3">
        <v>84.96</v>
      </c>
      <c r="F431" s="3">
        <v>101.99</v>
      </c>
      <c r="G431" s="3">
        <v>83.3</v>
      </c>
    </row>
    <row r="432">
      <c r="A432" s="2">
        <v>41334.0</v>
      </c>
      <c r="B432" s="3">
        <v>2013.0</v>
      </c>
      <c r="C432" s="3">
        <v>3.0</v>
      </c>
      <c r="D432" s="3" t="s">
        <v>9</v>
      </c>
      <c r="E432" s="3">
        <v>87.11</v>
      </c>
      <c r="F432" s="3">
        <v>106.33</v>
      </c>
      <c r="G432" s="3">
        <v>81.9</v>
      </c>
    </row>
    <row r="433">
      <c r="A433" s="2">
        <v>41365.0</v>
      </c>
      <c r="B433" s="3">
        <v>2013.0</v>
      </c>
      <c r="C433" s="3">
        <v>4.0</v>
      </c>
      <c r="D433" s="3" t="s">
        <v>9</v>
      </c>
      <c r="E433" s="3">
        <v>91.93</v>
      </c>
      <c r="F433" s="3">
        <v>115.45</v>
      </c>
      <c r="G433" s="3">
        <v>79.6</v>
      </c>
    </row>
    <row r="434">
      <c r="A434" s="2">
        <v>41395.0</v>
      </c>
      <c r="B434" s="3">
        <v>2013.0</v>
      </c>
      <c r="C434" s="3">
        <v>5.0</v>
      </c>
      <c r="D434" s="3" t="s">
        <v>9</v>
      </c>
      <c r="E434" s="3">
        <v>93.03</v>
      </c>
      <c r="F434" s="3">
        <v>113.03</v>
      </c>
      <c r="G434" s="3">
        <v>82.3</v>
      </c>
    </row>
    <row r="435">
      <c r="A435" s="2">
        <v>41426.0</v>
      </c>
      <c r="B435" s="3">
        <v>2013.0</v>
      </c>
      <c r="C435" s="3">
        <v>6.0</v>
      </c>
      <c r="D435" s="3" t="s">
        <v>9</v>
      </c>
      <c r="E435" s="3">
        <v>108.41</v>
      </c>
      <c r="F435" s="3">
        <v>128.41</v>
      </c>
      <c r="G435" s="3">
        <v>84.4</v>
      </c>
    </row>
    <row r="436">
      <c r="A436" s="2">
        <v>41456.0</v>
      </c>
      <c r="B436" s="3">
        <v>2013.0</v>
      </c>
      <c r="C436" s="3">
        <v>7.0</v>
      </c>
      <c r="D436" s="3" t="s">
        <v>9</v>
      </c>
      <c r="E436" s="3">
        <v>118.92</v>
      </c>
      <c r="F436" s="3">
        <v>139.67</v>
      </c>
      <c r="G436" s="3">
        <v>85.1</v>
      </c>
    </row>
    <row r="437">
      <c r="A437" s="2">
        <v>41487.0</v>
      </c>
      <c r="B437" s="3">
        <v>2013.0</v>
      </c>
      <c r="C437" s="3">
        <v>8.0</v>
      </c>
      <c r="D437" s="3" t="s">
        <v>9</v>
      </c>
      <c r="E437" s="3">
        <v>112.65</v>
      </c>
      <c r="F437" s="3">
        <v>138.57</v>
      </c>
      <c r="G437" s="3">
        <v>81.3</v>
      </c>
    </row>
    <row r="438">
      <c r="A438" s="2">
        <v>41518.0</v>
      </c>
      <c r="B438" s="3">
        <v>2013.0</v>
      </c>
      <c r="C438" s="3">
        <v>9.0</v>
      </c>
      <c r="D438" s="3" t="s">
        <v>9</v>
      </c>
      <c r="E438" s="3">
        <v>116.31</v>
      </c>
      <c r="F438" s="3">
        <v>133.59</v>
      </c>
      <c r="G438" s="3">
        <v>87.1</v>
      </c>
    </row>
    <row r="439">
      <c r="A439" s="4">
        <v>41548.0</v>
      </c>
      <c r="B439" s="3">
        <v>2013.0</v>
      </c>
      <c r="C439" s="3">
        <v>10.0</v>
      </c>
      <c r="D439" s="3" t="s">
        <v>9</v>
      </c>
      <c r="E439" s="3">
        <v>114.63</v>
      </c>
      <c r="F439" s="3">
        <v>136.08</v>
      </c>
      <c r="G439" s="3">
        <v>84.2</v>
      </c>
    </row>
    <row r="440">
      <c r="A440" s="4">
        <v>41579.0</v>
      </c>
      <c r="B440" s="3">
        <v>2013.0</v>
      </c>
      <c r="C440" s="3">
        <v>11.0</v>
      </c>
      <c r="D440" s="3" t="s">
        <v>9</v>
      </c>
      <c r="E440" s="3">
        <v>101.35</v>
      </c>
      <c r="F440" s="3">
        <v>126.32</v>
      </c>
      <c r="G440" s="3">
        <v>80.2</v>
      </c>
    </row>
    <row r="441">
      <c r="A441" s="4">
        <v>41609.0</v>
      </c>
      <c r="B441" s="3">
        <v>2013.0</v>
      </c>
      <c r="C441" s="3">
        <v>12.0</v>
      </c>
      <c r="D441" s="3" t="s">
        <v>9</v>
      </c>
      <c r="E441" s="3">
        <v>97.62</v>
      </c>
      <c r="F441" s="3">
        <v>122.33</v>
      </c>
      <c r="G441" s="3">
        <v>79.8</v>
      </c>
    </row>
    <row r="442">
      <c r="A442" s="2">
        <v>41640.0</v>
      </c>
      <c r="B442" s="3">
        <v>2014.0</v>
      </c>
      <c r="C442" s="3">
        <v>1.0</v>
      </c>
      <c r="D442" s="3" t="s">
        <v>9</v>
      </c>
      <c r="E442" s="3">
        <v>89.5</v>
      </c>
      <c r="F442" s="3">
        <v>109.45</v>
      </c>
      <c r="G442" s="3">
        <v>81.8</v>
      </c>
    </row>
    <row r="443">
      <c r="A443" s="2">
        <v>41671.0</v>
      </c>
      <c r="B443" s="3">
        <v>2014.0</v>
      </c>
      <c r="C443" s="3">
        <v>2.0</v>
      </c>
      <c r="D443" s="3" t="s">
        <v>9</v>
      </c>
      <c r="E443" s="3">
        <v>92.85</v>
      </c>
      <c r="F443" s="3">
        <v>114.21</v>
      </c>
      <c r="G443" s="3">
        <v>81.3</v>
      </c>
    </row>
    <row r="444">
      <c r="A444" s="2">
        <v>41699.0</v>
      </c>
      <c r="B444" s="3">
        <v>2014.0</v>
      </c>
      <c r="C444" s="3">
        <v>3.0</v>
      </c>
      <c r="D444" s="3" t="s">
        <v>9</v>
      </c>
      <c r="E444" s="3">
        <v>84.64</v>
      </c>
      <c r="F444" s="3">
        <v>101.97</v>
      </c>
      <c r="G444" s="3">
        <v>83.0</v>
      </c>
    </row>
    <row r="445">
      <c r="A445" s="2">
        <v>41730.0</v>
      </c>
      <c r="B445" s="3">
        <v>2014.0</v>
      </c>
      <c r="C445" s="3">
        <v>4.0</v>
      </c>
      <c r="D445" s="3" t="s">
        <v>9</v>
      </c>
      <c r="E445" s="3">
        <v>95.29</v>
      </c>
      <c r="F445" s="3">
        <v>116.09</v>
      </c>
      <c r="G445" s="3">
        <v>82.1</v>
      </c>
    </row>
    <row r="446">
      <c r="A446" s="2">
        <v>41760.0</v>
      </c>
      <c r="B446" s="3">
        <v>2014.0</v>
      </c>
      <c r="C446" s="3">
        <v>5.0</v>
      </c>
      <c r="D446" s="3" t="s">
        <v>9</v>
      </c>
      <c r="E446" s="3">
        <v>105.46</v>
      </c>
      <c r="F446" s="3">
        <v>129.47</v>
      </c>
      <c r="G446" s="3">
        <v>81.5</v>
      </c>
    </row>
    <row r="447">
      <c r="A447" s="2">
        <v>41791.0</v>
      </c>
      <c r="B447" s="3">
        <v>2014.0</v>
      </c>
      <c r="C447" s="3">
        <v>6.0</v>
      </c>
      <c r="D447" s="3" t="s">
        <v>9</v>
      </c>
      <c r="E447" s="3">
        <v>116.98</v>
      </c>
      <c r="F447" s="3">
        <v>148.2</v>
      </c>
      <c r="G447" s="3">
        <v>78.9</v>
      </c>
    </row>
    <row r="448">
      <c r="A448" s="2">
        <v>41821.0</v>
      </c>
      <c r="B448" s="3">
        <v>2014.0</v>
      </c>
      <c r="C448" s="3">
        <v>7.0</v>
      </c>
      <c r="D448" s="3" t="s">
        <v>9</v>
      </c>
      <c r="E448" s="3">
        <v>118.82</v>
      </c>
      <c r="F448" s="3">
        <v>142.52</v>
      </c>
      <c r="G448" s="3">
        <v>83.4</v>
      </c>
    </row>
    <row r="449">
      <c r="A449" s="2">
        <v>41852.0</v>
      </c>
      <c r="B449" s="3">
        <v>2014.0</v>
      </c>
      <c r="C449" s="3">
        <v>8.0</v>
      </c>
      <c r="D449" s="3" t="s">
        <v>9</v>
      </c>
      <c r="E449" s="3">
        <v>121.18</v>
      </c>
      <c r="F449" s="3">
        <v>153.82</v>
      </c>
      <c r="G449" s="3">
        <v>78.8</v>
      </c>
    </row>
    <row r="450">
      <c r="A450" s="2">
        <v>41883.0</v>
      </c>
      <c r="B450" s="3">
        <v>2014.0</v>
      </c>
      <c r="C450" s="3">
        <v>9.0</v>
      </c>
      <c r="D450" s="3" t="s">
        <v>9</v>
      </c>
      <c r="E450" s="3">
        <v>124.35</v>
      </c>
      <c r="F450" s="3">
        <v>147.6</v>
      </c>
      <c r="G450" s="3">
        <v>84.2</v>
      </c>
    </row>
    <row r="451">
      <c r="A451" s="4">
        <v>41913.0</v>
      </c>
      <c r="B451" s="3">
        <v>2014.0</v>
      </c>
      <c r="C451" s="3">
        <v>10.0</v>
      </c>
      <c r="D451" s="3" t="s">
        <v>9</v>
      </c>
      <c r="E451" s="3">
        <v>116.37</v>
      </c>
      <c r="F451" s="3">
        <v>149.05</v>
      </c>
      <c r="G451" s="3">
        <v>78.1</v>
      </c>
    </row>
    <row r="452">
      <c r="A452" s="4">
        <v>41944.0</v>
      </c>
      <c r="B452" s="3">
        <v>2014.0</v>
      </c>
      <c r="C452" s="3">
        <v>11.0</v>
      </c>
      <c r="D452" s="3" t="s">
        <v>9</v>
      </c>
      <c r="E452" s="3">
        <v>111.27</v>
      </c>
      <c r="F452" s="3">
        <v>141.41</v>
      </c>
      <c r="G452" s="3">
        <v>78.7</v>
      </c>
    </row>
    <row r="453">
      <c r="A453" s="4">
        <v>41974.0</v>
      </c>
      <c r="B453" s="3">
        <v>2014.0</v>
      </c>
      <c r="C453" s="3">
        <v>12.0</v>
      </c>
      <c r="D453" s="3" t="s">
        <v>9</v>
      </c>
      <c r="E453" s="3">
        <v>102.2</v>
      </c>
      <c r="F453" s="3">
        <v>127.39</v>
      </c>
      <c r="G453" s="3">
        <v>80.2</v>
      </c>
    </row>
    <row r="454">
      <c r="A454" s="2">
        <v>42005.0</v>
      </c>
      <c r="B454" s="3">
        <v>2015.0</v>
      </c>
      <c r="C454" s="3">
        <v>1.0</v>
      </c>
      <c r="D454" s="3" t="s">
        <v>9</v>
      </c>
      <c r="E454" s="3">
        <v>92.44</v>
      </c>
      <c r="F454" s="3">
        <v>113.96</v>
      </c>
      <c r="G454" s="3">
        <v>81.1</v>
      </c>
    </row>
    <row r="455">
      <c r="A455" s="2">
        <v>42036.0</v>
      </c>
      <c r="B455" s="3">
        <v>2015.0</v>
      </c>
      <c r="C455" s="3">
        <v>2.0</v>
      </c>
      <c r="D455" s="3" t="s">
        <v>9</v>
      </c>
      <c r="E455" s="3">
        <v>93.73</v>
      </c>
      <c r="F455" s="3">
        <v>116.13</v>
      </c>
      <c r="G455" s="3">
        <v>80.7</v>
      </c>
    </row>
    <row r="456">
      <c r="A456" s="2">
        <v>42064.0</v>
      </c>
      <c r="B456" s="3">
        <v>2015.0</v>
      </c>
      <c r="C456" s="3">
        <v>3.0</v>
      </c>
      <c r="D456" s="3" t="s">
        <v>9</v>
      </c>
      <c r="E456" s="3">
        <v>98.97</v>
      </c>
      <c r="F456" s="3">
        <v>122.02</v>
      </c>
      <c r="G456" s="3">
        <v>81.1</v>
      </c>
    </row>
    <row r="457">
      <c r="A457" s="2">
        <v>42095.0</v>
      </c>
      <c r="B457" s="3">
        <v>2015.0</v>
      </c>
      <c r="C457" s="3">
        <v>4.0</v>
      </c>
      <c r="D457" s="3" t="s">
        <v>9</v>
      </c>
      <c r="E457" s="3">
        <v>107.29</v>
      </c>
      <c r="F457" s="3">
        <v>129.95</v>
      </c>
      <c r="G457" s="3">
        <v>82.6</v>
      </c>
    </row>
    <row r="458">
      <c r="A458" s="2">
        <v>42125.0</v>
      </c>
      <c r="B458" s="3">
        <v>2015.0</v>
      </c>
      <c r="C458" s="3">
        <v>5.0</v>
      </c>
      <c r="D458" s="3" t="s">
        <v>9</v>
      </c>
      <c r="E458" s="3">
        <v>111.15</v>
      </c>
      <c r="F458" s="3">
        <v>138.47</v>
      </c>
      <c r="G458" s="3">
        <v>80.3</v>
      </c>
    </row>
    <row r="459">
      <c r="A459" s="2">
        <v>42156.0</v>
      </c>
      <c r="B459" s="3">
        <v>2015.0</v>
      </c>
      <c r="C459" s="3">
        <v>6.0</v>
      </c>
      <c r="D459" s="3" t="s">
        <v>9</v>
      </c>
      <c r="E459" s="3">
        <v>117.02</v>
      </c>
      <c r="F459" s="3">
        <v>141.71</v>
      </c>
      <c r="G459" s="3">
        <v>82.6</v>
      </c>
    </row>
    <row r="460">
      <c r="A460" s="2">
        <v>42186.0</v>
      </c>
      <c r="B460" s="3">
        <v>2015.0</v>
      </c>
      <c r="C460" s="3">
        <v>7.0</v>
      </c>
      <c r="D460" s="3" t="s">
        <v>9</v>
      </c>
      <c r="E460" s="3">
        <v>128.84</v>
      </c>
      <c r="F460" s="3">
        <v>166.78</v>
      </c>
      <c r="G460" s="3">
        <v>77.3</v>
      </c>
    </row>
    <row r="461">
      <c r="A461" s="2">
        <v>42217.0</v>
      </c>
      <c r="B461" s="3">
        <v>2015.0</v>
      </c>
      <c r="C461" s="3">
        <v>8.0</v>
      </c>
      <c r="D461" s="3" t="s">
        <v>9</v>
      </c>
      <c r="E461" s="3">
        <v>131.41</v>
      </c>
      <c r="F461" s="3">
        <v>163.86</v>
      </c>
      <c r="G461" s="3">
        <v>80.2</v>
      </c>
    </row>
    <row r="462">
      <c r="A462" s="2">
        <v>42248.0</v>
      </c>
      <c r="B462" s="3">
        <v>2015.0</v>
      </c>
      <c r="C462" s="3">
        <v>9.0</v>
      </c>
      <c r="D462" s="3" t="s">
        <v>9</v>
      </c>
      <c r="E462" s="3">
        <v>138.6</v>
      </c>
      <c r="F462" s="3">
        <v>176.35</v>
      </c>
      <c r="G462" s="3">
        <v>78.6</v>
      </c>
    </row>
    <row r="463">
      <c r="A463" s="4">
        <v>42278.0</v>
      </c>
      <c r="B463" s="3">
        <v>2015.0</v>
      </c>
      <c r="C463" s="3">
        <v>10.0</v>
      </c>
      <c r="D463" s="3" t="s">
        <v>9</v>
      </c>
      <c r="E463" s="3">
        <v>121.35</v>
      </c>
      <c r="F463" s="3">
        <v>144.09</v>
      </c>
      <c r="G463" s="3">
        <v>84.2</v>
      </c>
    </row>
    <row r="464">
      <c r="A464" s="4">
        <v>42309.0</v>
      </c>
      <c r="B464" s="3">
        <v>2015.0</v>
      </c>
      <c r="C464" s="3">
        <v>11.0</v>
      </c>
      <c r="D464" s="3" t="s">
        <v>9</v>
      </c>
      <c r="E464" s="3">
        <v>123.68</v>
      </c>
      <c r="F464" s="3">
        <v>153.62</v>
      </c>
      <c r="G464" s="3">
        <v>80.5</v>
      </c>
    </row>
    <row r="465">
      <c r="A465" s="4">
        <v>42339.0</v>
      </c>
      <c r="B465" s="3">
        <v>2015.0</v>
      </c>
      <c r="C465" s="3">
        <v>12.0</v>
      </c>
      <c r="D465" s="3" t="s">
        <v>9</v>
      </c>
      <c r="E465" s="3">
        <v>108.57</v>
      </c>
      <c r="F465" s="3">
        <v>130.45</v>
      </c>
      <c r="G465" s="3">
        <v>83.2</v>
      </c>
    </row>
    <row r="466">
      <c r="A466" s="2">
        <v>42370.0</v>
      </c>
      <c r="B466" s="3">
        <v>2016.0</v>
      </c>
      <c r="C466" s="3">
        <v>1.0</v>
      </c>
      <c r="D466" s="3" t="s">
        <v>9</v>
      </c>
      <c r="E466" s="3">
        <v>97.78</v>
      </c>
      <c r="F466" s="3">
        <v>124.91</v>
      </c>
      <c r="G466" s="3">
        <v>78.3</v>
      </c>
    </row>
    <row r="467">
      <c r="A467" s="2">
        <v>42401.0</v>
      </c>
      <c r="B467" s="3">
        <v>2016.0</v>
      </c>
      <c r="C467" s="3">
        <v>2.0</v>
      </c>
      <c r="D467" s="3" t="s">
        <v>9</v>
      </c>
      <c r="E467" s="3">
        <v>102.3</v>
      </c>
      <c r="F467" s="3">
        <v>120.22</v>
      </c>
      <c r="G467" s="3">
        <v>85.1</v>
      </c>
    </row>
    <row r="468">
      <c r="A468" s="2">
        <v>42430.0</v>
      </c>
      <c r="B468" s="3">
        <v>2016.0</v>
      </c>
      <c r="C468" s="3">
        <v>3.0</v>
      </c>
      <c r="D468" s="3" t="s">
        <v>9</v>
      </c>
      <c r="E468" s="3">
        <v>104.99</v>
      </c>
      <c r="F468" s="3">
        <v>127.72</v>
      </c>
      <c r="G468" s="3">
        <v>82.2</v>
      </c>
    </row>
    <row r="469">
      <c r="A469" s="2">
        <v>42461.0</v>
      </c>
      <c r="B469" s="3">
        <v>2016.0</v>
      </c>
      <c r="C469" s="3">
        <v>4.0</v>
      </c>
      <c r="D469" s="3" t="s">
        <v>9</v>
      </c>
      <c r="E469" s="3">
        <v>117.83</v>
      </c>
      <c r="F469" s="3">
        <v>136.67</v>
      </c>
      <c r="G469" s="3">
        <v>86.2</v>
      </c>
    </row>
    <row r="470">
      <c r="A470" s="2">
        <v>42491.0</v>
      </c>
      <c r="B470" s="3">
        <v>2016.0</v>
      </c>
      <c r="C470" s="3">
        <v>5.0</v>
      </c>
      <c r="D470" s="3" t="s">
        <v>9</v>
      </c>
      <c r="E470" s="3">
        <v>121.87</v>
      </c>
      <c r="F470" s="3">
        <v>148.69</v>
      </c>
      <c r="G470" s="3">
        <v>82.0</v>
      </c>
    </row>
    <row r="471">
      <c r="A471" s="2">
        <v>42522.0</v>
      </c>
      <c r="B471" s="3">
        <v>2016.0</v>
      </c>
      <c r="C471" s="3">
        <v>6.0</v>
      </c>
      <c r="D471" s="3" t="s">
        <v>9</v>
      </c>
      <c r="E471" s="3">
        <v>141.78</v>
      </c>
      <c r="F471" s="3">
        <v>179.57</v>
      </c>
      <c r="G471" s="3">
        <v>79.0</v>
      </c>
    </row>
    <row r="472">
      <c r="A472" s="2">
        <v>42552.0</v>
      </c>
      <c r="B472" s="3">
        <v>2016.0</v>
      </c>
      <c r="C472" s="3">
        <v>7.0</v>
      </c>
      <c r="D472" s="3" t="s">
        <v>9</v>
      </c>
      <c r="E472" s="3">
        <v>146.53</v>
      </c>
      <c r="F472" s="3">
        <v>183.25</v>
      </c>
      <c r="G472" s="3">
        <v>80.0</v>
      </c>
    </row>
    <row r="473">
      <c r="A473" s="2">
        <v>42583.0</v>
      </c>
      <c r="B473" s="3">
        <v>2016.0</v>
      </c>
      <c r="C473" s="3">
        <v>8.0</v>
      </c>
      <c r="D473" s="3" t="s">
        <v>9</v>
      </c>
      <c r="E473" s="3">
        <v>146.07</v>
      </c>
      <c r="F473" s="3">
        <v>179.19</v>
      </c>
      <c r="G473" s="3">
        <v>81.5</v>
      </c>
    </row>
    <row r="474">
      <c r="A474" s="2">
        <v>42614.0</v>
      </c>
      <c r="B474" s="3">
        <v>2016.0</v>
      </c>
      <c r="C474" s="3">
        <v>9.0</v>
      </c>
      <c r="D474" s="3" t="s">
        <v>9</v>
      </c>
      <c r="E474" s="3">
        <v>139.98</v>
      </c>
      <c r="F474" s="3">
        <v>174.9</v>
      </c>
      <c r="G474" s="3">
        <v>80.0</v>
      </c>
    </row>
    <row r="475">
      <c r="A475" s="4">
        <v>42644.0</v>
      </c>
      <c r="B475" s="3">
        <v>2016.0</v>
      </c>
      <c r="C475" s="3">
        <v>10.0</v>
      </c>
      <c r="D475" s="3" t="s">
        <v>9</v>
      </c>
      <c r="E475" s="3">
        <v>139.15</v>
      </c>
      <c r="F475" s="3">
        <v>165.68</v>
      </c>
      <c r="G475" s="3">
        <v>84.0</v>
      </c>
    </row>
    <row r="476">
      <c r="A476" s="4">
        <v>42675.0</v>
      </c>
      <c r="B476" s="3">
        <v>2016.0</v>
      </c>
      <c r="C476" s="3">
        <v>11.0</v>
      </c>
      <c r="D476" s="3" t="s">
        <v>9</v>
      </c>
      <c r="E476" s="3">
        <v>128.75</v>
      </c>
      <c r="F476" s="3">
        <v>156.74</v>
      </c>
      <c r="G476" s="3">
        <v>82.1</v>
      </c>
    </row>
    <row r="477">
      <c r="A477" s="4">
        <v>42705.0</v>
      </c>
      <c r="B477" s="3">
        <v>2016.0</v>
      </c>
      <c r="C477" s="3">
        <v>12.0</v>
      </c>
      <c r="D477" s="3" t="s">
        <v>9</v>
      </c>
      <c r="E477" s="3">
        <v>122.45</v>
      </c>
      <c r="F477" s="3">
        <v>152.95</v>
      </c>
      <c r="G477" s="3">
        <v>80.1</v>
      </c>
    </row>
    <row r="478">
      <c r="A478" s="2">
        <v>42736.0</v>
      </c>
      <c r="B478" s="3">
        <v>2017.0</v>
      </c>
      <c r="C478" s="3">
        <v>1.0</v>
      </c>
      <c r="D478" s="3" t="s">
        <v>9</v>
      </c>
      <c r="E478" s="3">
        <v>116.54</v>
      </c>
      <c r="F478" s="3">
        <v>139.34</v>
      </c>
      <c r="G478" s="3">
        <v>83.6</v>
      </c>
    </row>
    <row r="479">
      <c r="A479" s="2">
        <v>42767.0</v>
      </c>
      <c r="B479" s="3">
        <v>2017.0</v>
      </c>
      <c r="C479" s="3">
        <v>2.0</v>
      </c>
      <c r="D479" s="3" t="s">
        <v>9</v>
      </c>
      <c r="E479" s="3">
        <v>121.2</v>
      </c>
      <c r="F479" s="3">
        <v>149.17</v>
      </c>
      <c r="G479" s="3">
        <v>81.2</v>
      </c>
    </row>
    <row r="480">
      <c r="A480" s="2">
        <v>42795.0</v>
      </c>
      <c r="B480" s="3">
        <v>2017.0</v>
      </c>
      <c r="C480" s="3">
        <v>3.0</v>
      </c>
      <c r="D480" s="3" t="s">
        <v>9</v>
      </c>
      <c r="E480" s="3">
        <v>113.93</v>
      </c>
      <c r="F480" s="3">
        <v>136.38</v>
      </c>
      <c r="G480" s="3">
        <v>83.5</v>
      </c>
    </row>
    <row r="481">
      <c r="A481" s="2">
        <v>42826.0</v>
      </c>
      <c r="B481" s="3">
        <v>2017.0</v>
      </c>
      <c r="C481" s="3">
        <v>4.0</v>
      </c>
      <c r="D481" s="3" t="s">
        <v>9</v>
      </c>
      <c r="E481" s="3">
        <v>126.68</v>
      </c>
      <c r="F481" s="3">
        <v>156.53</v>
      </c>
      <c r="G481" s="3">
        <v>80.9</v>
      </c>
    </row>
    <row r="482">
      <c r="A482" s="2">
        <v>42856.0</v>
      </c>
      <c r="B482" s="3">
        <v>2017.0</v>
      </c>
      <c r="C482" s="3">
        <v>5.0</v>
      </c>
      <c r="D482" s="3" t="s">
        <v>9</v>
      </c>
      <c r="E482" s="3">
        <v>132.88</v>
      </c>
      <c r="F482" s="3">
        <v>159.94</v>
      </c>
      <c r="G482" s="3">
        <v>83.1</v>
      </c>
    </row>
    <row r="483">
      <c r="A483" s="2">
        <v>42887.0</v>
      </c>
      <c r="B483" s="3">
        <v>2017.0</v>
      </c>
      <c r="C483" s="3">
        <v>6.0</v>
      </c>
      <c r="D483" s="3" t="s">
        <v>9</v>
      </c>
      <c r="E483" s="3">
        <v>141.96</v>
      </c>
      <c r="F483" s="3">
        <v>174.87</v>
      </c>
      <c r="G483" s="3">
        <v>81.2</v>
      </c>
    </row>
    <row r="484">
      <c r="A484" s="2">
        <v>42917.0</v>
      </c>
      <c r="B484" s="3">
        <v>2017.0</v>
      </c>
      <c r="C484" s="3">
        <v>7.0</v>
      </c>
      <c r="D484" s="3" t="s">
        <v>9</v>
      </c>
      <c r="E484" s="3">
        <v>154.36</v>
      </c>
      <c r="F484" s="3">
        <v>183.78</v>
      </c>
      <c r="G484" s="3">
        <v>84.0</v>
      </c>
    </row>
    <row r="485">
      <c r="A485" s="2">
        <v>42948.0</v>
      </c>
      <c r="B485" s="3">
        <v>2017.0</v>
      </c>
      <c r="C485" s="3">
        <v>8.0</v>
      </c>
      <c r="D485" s="3" t="s">
        <v>9</v>
      </c>
      <c r="E485" s="3">
        <v>154.86</v>
      </c>
      <c r="F485" s="3">
        <v>197.74</v>
      </c>
      <c r="G485" s="3">
        <v>78.3</v>
      </c>
    </row>
    <row r="486">
      <c r="A486" s="2">
        <v>42979.0</v>
      </c>
      <c r="B486" s="3">
        <v>2017.0</v>
      </c>
      <c r="C486" s="3">
        <v>9.0</v>
      </c>
      <c r="D486" s="3" t="s">
        <v>9</v>
      </c>
      <c r="E486" s="3">
        <v>147.21</v>
      </c>
      <c r="F486" s="3">
        <v>185.22</v>
      </c>
      <c r="G486" s="3">
        <v>79.5</v>
      </c>
    </row>
    <row r="487">
      <c r="A487" s="4">
        <v>43009.0</v>
      </c>
      <c r="B487" s="3">
        <v>2017.0</v>
      </c>
      <c r="C487" s="3">
        <v>10.0</v>
      </c>
      <c r="D487" s="3" t="s">
        <v>9</v>
      </c>
      <c r="E487" s="3">
        <v>143.52</v>
      </c>
      <c r="F487" s="3">
        <v>175.69</v>
      </c>
      <c r="G487" s="3">
        <v>81.7</v>
      </c>
    </row>
    <row r="488">
      <c r="A488" s="4">
        <v>43040.0</v>
      </c>
      <c r="B488" s="3">
        <v>2017.0</v>
      </c>
      <c r="C488" s="3">
        <v>11.0</v>
      </c>
      <c r="D488" s="3" t="s">
        <v>9</v>
      </c>
      <c r="E488" s="3">
        <v>134.85</v>
      </c>
      <c r="F488" s="3">
        <v>167.32</v>
      </c>
      <c r="G488" s="3">
        <v>80.6</v>
      </c>
    </row>
    <row r="489">
      <c r="A489" s="4">
        <v>43070.0</v>
      </c>
      <c r="B489" s="3">
        <v>2017.0</v>
      </c>
      <c r="C489" s="3">
        <v>12.0</v>
      </c>
      <c r="D489" s="3" t="s">
        <v>9</v>
      </c>
      <c r="E489" s="3">
        <v>127.09</v>
      </c>
      <c r="F489" s="3">
        <v>156.67</v>
      </c>
      <c r="G489" s="3">
        <v>81.1</v>
      </c>
    </row>
    <row r="490">
      <c r="A490" s="2">
        <v>43101.0</v>
      </c>
      <c r="B490" s="3">
        <v>2018.0</v>
      </c>
      <c r="C490" s="3">
        <v>1.0</v>
      </c>
      <c r="D490" s="3" t="s">
        <v>9</v>
      </c>
      <c r="E490" s="3">
        <v>128.1</v>
      </c>
      <c r="F490" s="3">
        <v>153.74</v>
      </c>
      <c r="G490" s="3">
        <v>83.3</v>
      </c>
    </row>
    <row r="491">
      <c r="A491" s="2">
        <v>43132.0</v>
      </c>
      <c r="B491" s="3">
        <v>2018.0</v>
      </c>
      <c r="C491" s="3">
        <v>2.0</v>
      </c>
      <c r="D491" s="3" t="s">
        <v>9</v>
      </c>
      <c r="E491" s="3">
        <v>121.08</v>
      </c>
      <c r="F491" s="3">
        <v>149.33</v>
      </c>
      <c r="G491" s="3">
        <v>81.1</v>
      </c>
    </row>
    <row r="492">
      <c r="A492" s="2">
        <v>43160.0</v>
      </c>
      <c r="B492" s="3">
        <v>2018.0</v>
      </c>
      <c r="C492" s="3">
        <v>3.0</v>
      </c>
      <c r="D492" s="3" t="s">
        <v>9</v>
      </c>
      <c r="E492" s="3">
        <v>123.03</v>
      </c>
      <c r="F492" s="3">
        <v>148.85</v>
      </c>
      <c r="G492" s="3">
        <v>82.7</v>
      </c>
    </row>
    <row r="493">
      <c r="A493" s="2">
        <v>43191.0</v>
      </c>
      <c r="B493" s="3">
        <v>2018.0</v>
      </c>
      <c r="C493" s="3">
        <v>4.0</v>
      </c>
      <c r="D493" s="3" t="s">
        <v>9</v>
      </c>
      <c r="E493" s="3">
        <v>135.67</v>
      </c>
      <c r="F493" s="3">
        <v>169.2</v>
      </c>
      <c r="G493" s="3">
        <v>80.2</v>
      </c>
    </row>
    <row r="494">
      <c r="A494" s="2">
        <v>43221.0</v>
      </c>
      <c r="B494" s="3">
        <v>2018.0</v>
      </c>
      <c r="C494" s="3">
        <v>5.0</v>
      </c>
      <c r="D494" s="3" t="s">
        <v>9</v>
      </c>
      <c r="E494" s="3">
        <v>145.16</v>
      </c>
      <c r="F494" s="3">
        <v>186.25</v>
      </c>
      <c r="G494" s="3">
        <v>77.9</v>
      </c>
    </row>
    <row r="495">
      <c r="A495" s="2">
        <v>43252.0</v>
      </c>
      <c r="B495" s="3">
        <v>2018.0</v>
      </c>
      <c r="C495" s="3">
        <v>6.0</v>
      </c>
      <c r="D495" s="3" t="s">
        <v>9</v>
      </c>
      <c r="E495" s="3">
        <v>157.81</v>
      </c>
      <c r="F495" s="3">
        <v>188.94</v>
      </c>
      <c r="G495" s="3">
        <v>83.5</v>
      </c>
    </row>
    <row r="496">
      <c r="A496" s="2">
        <v>43282.0</v>
      </c>
      <c r="B496" s="3">
        <v>2018.0</v>
      </c>
      <c r="C496" s="3">
        <v>7.0</v>
      </c>
      <c r="D496" s="3" t="s">
        <v>9</v>
      </c>
      <c r="E496" s="3">
        <v>164.43</v>
      </c>
      <c r="F496" s="3">
        <v>192.01</v>
      </c>
      <c r="G496" s="3">
        <v>85.6</v>
      </c>
    </row>
    <row r="497">
      <c r="A497" s="2">
        <v>43313.0</v>
      </c>
      <c r="B497" s="3">
        <v>2018.0</v>
      </c>
      <c r="C497" s="3">
        <v>8.0</v>
      </c>
      <c r="D497" s="3" t="s">
        <v>9</v>
      </c>
      <c r="E497" s="3">
        <v>165.34</v>
      </c>
      <c r="F497" s="3">
        <v>200.57</v>
      </c>
      <c r="G497" s="3">
        <v>82.4</v>
      </c>
    </row>
    <row r="498">
      <c r="A498" s="2">
        <v>43344.0</v>
      </c>
      <c r="B498" s="3">
        <v>2018.0</v>
      </c>
      <c r="C498" s="3">
        <v>9.0</v>
      </c>
      <c r="D498" s="3" t="s">
        <v>9</v>
      </c>
      <c r="E498" s="3">
        <v>167.61</v>
      </c>
      <c r="F498" s="3">
        <v>204.9</v>
      </c>
      <c r="G498" s="3">
        <v>81.8</v>
      </c>
    </row>
    <row r="499">
      <c r="A499" s="4">
        <v>43374.0</v>
      </c>
      <c r="B499" s="3">
        <v>2018.0</v>
      </c>
      <c r="C499" s="3">
        <v>10.0</v>
      </c>
      <c r="D499" s="3" t="s">
        <v>9</v>
      </c>
      <c r="E499" s="3">
        <v>160.03</v>
      </c>
      <c r="F499" s="3">
        <v>194.65</v>
      </c>
      <c r="G499" s="3">
        <v>82.2</v>
      </c>
    </row>
    <row r="500">
      <c r="A500" s="4">
        <v>43405.0</v>
      </c>
      <c r="B500" s="3">
        <v>2018.0</v>
      </c>
      <c r="C500" s="3">
        <v>11.0</v>
      </c>
      <c r="D500" s="3" t="s">
        <v>9</v>
      </c>
      <c r="E500" s="3">
        <v>154.12</v>
      </c>
      <c r="F500" s="3">
        <v>181.84</v>
      </c>
      <c r="G500" s="3">
        <v>84.8</v>
      </c>
    </row>
    <row r="501">
      <c r="A501" s="4">
        <v>43435.0</v>
      </c>
      <c r="B501" s="3">
        <v>2018.0</v>
      </c>
      <c r="C501" s="3">
        <v>12.0</v>
      </c>
      <c r="D501" s="3" t="s">
        <v>9</v>
      </c>
      <c r="E501" s="3">
        <v>139.78</v>
      </c>
      <c r="F501" s="3">
        <v>167.14</v>
      </c>
      <c r="G501" s="3">
        <v>83.6</v>
      </c>
    </row>
    <row r="502">
      <c r="A502" s="2">
        <v>43466.0</v>
      </c>
      <c r="B502" s="3">
        <v>2019.0</v>
      </c>
      <c r="C502" s="3">
        <v>1.0</v>
      </c>
      <c r="D502" s="3" t="s">
        <v>9</v>
      </c>
      <c r="E502" s="3">
        <v>129.5</v>
      </c>
      <c r="F502" s="3">
        <v>155.03</v>
      </c>
      <c r="G502" s="3">
        <v>83.5</v>
      </c>
    </row>
    <row r="503">
      <c r="A503" s="2">
        <v>43497.0</v>
      </c>
      <c r="B503" s="3">
        <v>2019.0</v>
      </c>
      <c r="C503" s="3">
        <v>2.0</v>
      </c>
      <c r="D503" s="3" t="s">
        <v>9</v>
      </c>
      <c r="E503" s="3">
        <v>119.91</v>
      </c>
      <c r="F503" s="3">
        <v>142.44</v>
      </c>
      <c r="G503" s="3">
        <v>84.2</v>
      </c>
    </row>
    <row r="504">
      <c r="A504" s="2">
        <v>43525.0</v>
      </c>
      <c r="B504" s="3">
        <v>2019.0</v>
      </c>
      <c r="C504" s="3">
        <v>3.0</v>
      </c>
      <c r="D504" s="3" t="s">
        <v>9</v>
      </c>
      <c r="E504" s="3">
        <v>127.07</v>
      </c>
      <c r="F504" s="3">
        <v>155.42</v>
      </c>
      <c r="G504" s="3">
        <v>81.8</v>
      </c>
    </row>
    <row r="505">
      <c r="A505" s="2">
        <v>43556.0</v>
      </c>
      <c r="B505" s="3">
        <v>2019.0</v>
      </c>
      <c r="C505" s="3">
        <v>4.0</v>
      </c>
      <c r="D505" s="3" t="s">
        <v>9</v>
      </c>
      <c r="E505" s="3">
        <v>111.73</v>
      </c>
      <c r="F505" s="3">
        <v>138.1</v>
      </c>
      <c r="G505" s="3">
        <v>80.9</v>
      </c>
    </row>
    <row r="506">
      <c r="A506" s="2">
        <v>43586.0</v>
      </c>
      <c r="B506" s="3">
        <v>2019.0</v>
      </c>
      <c r="C506" s="3">
        <v>5.0</v>
      </c>
      <c r="D506" s="3" t="s">
        <v>9</v>
      </c>
      <c r="E506" s="3">
        <v>125.9</v>
      </c>
      <c r="F506" s="3">
        <v>151.49</v>
      </c>
      <c r="G506" s="3">
        <v>83.1</v>
      </c>
    </row>
    <row r="507">
      <c r="A507" s="2">
        <v>43617.0</v>
      </c>
      <c r="B507" s="3">
        <v>2019.0</v>
      </c>
      <c r="C507" s="3">
        <v>6.0</v>
      </c>
      <c r="D507" s="3" t="s">
        <v>9</v>
      </c>
      <c r="E507" s="3">
        <v>123.11</v>
      </c>
      <c r="F507" s="3">
        <v>146.53</v>
      </c>
      <c r="G507" s="3">
        <v>84.0</v>
      </c>
    </row>
    <row r="508">
      <c r="A508" s="2">
        <v>43647.0</v>
      </c>
      <c r="B508" s="3">
        <v>2019.0</v>
      </c>
      <c r="C508" s="3">
        <v>7.0</v>
      </c>
      <c r="D508" s="3" t="s">
        <v>9</v>
      </c>
      <c r="E508" s="3">
        <v>121.52</v>
      </c>
      <c r="F508" s="3">
        <v>143.92</v>
      </c>
      <c r="G508" s="3">
        <v>84.4</v>
      </c>
    </row>
    <row r="509">
      <c r="A509" s="2">
        <v>43678.0</v>
      </c>
      <c r="B509" s="3">
        <v>2019.0</v>
      </c>
      <c r="C509" s="3">
        <v>8.0</v>
      </c>
      <c r="D509" s="3" t="s">
        <v>9</v>
      </c>
      <c r="E509" s="3">
        <v>116.25</v>
      </c>
      <c r="F509" s="3">
        <v>136.69</v>
      </c>
      <c r="G509" s="3">
        <v>85.0</v>
      </c>
    </row>
    <row r="510">
      <c r="A510" s="2">
        <v>43709.0</v>
      </c>
      <c r="B510" s="3">
        <v>2019.0</v>
      </c>
      <c r="C510" s="3">
        <v>9.0</v>
      </c>
      <c r="D510" s="3" t="s">
        <v>9</v>
      </c>
      <c r="E510" s="3">
        <v>103.55</v>
      </c>
      <c r="F510" s="3">
        <v>123.56</v>
      </c>
      <c r="G510" s="3">
        <v>83.8</v>
      </c>
    </row>
    <row r="511">
      <c r="A511" s="4">
        <v>43739.0</v>
      </c>
      <c r="B511" s="3">
        <v>2019.0</v>
      </c>
      <c r="C511" s="3">
        <v>10.0</v>
      </c>
      <c r="D511" s="3" t="s">
        <v>9</v>
      </c>
      <c r="E511" s="3">
        <v>88.41</v>
      </c>
      <c r="F511" s="3">
        <v>109.42</v>
      </c>
      <c r="G511" s="3">
        <v>80.8</v>
      </c>
    </row>
    <row r="512">
      <c r="A512" s="4">
        <v>43770.0</v>
      </c>
      <c r="B512" s="3">
        <v>2019.0</v>
      </c>
      <c r="C512" s="3">
        <v>11.0</v>
      </c>
      <c r="D512" s="3" t="s">
        <v>9</v>
      </c>
      <c r="E512" s="3">
        <v>79.29</v>
      </c>
      <c r="F512" s="3">
        <v>96.19</v>
      </c>
      <c r="G512" s="3">
        <v>82.4</v>
      </c>
    </row>
    <row r="513">
      <c r="A513" s="4">
        <v>43800.0</v>
      </c>
      <c r="B513" s="3">
        <v>2019.0</v>
      </c>
      <c r="C513" s="3">
        <v>12.0</v>
      </c>
      <c r="D513" s="3" t="s">
        <v>9</v>
      </c>
      <c r="E513" s="3">
        <v>64.12</v>
      </c>
      <c r="F513" s="3">
        <v>77.96</v>
      </c>
      <c r="G513" s="3">
        <v>82.2</v>
      </c>
    </row>
    <row r="514">
      <c r="A514" s="2">
        <v>43831.0</v>
      </c>
      <c r="B514" s="3">
        <v>2020.0</v>
      </c>
      <c r="C514" s="3">
        <v>1.0</v>
      </c>
      <c r="D514" s="3" t="s">
        <v>9</v>
      </c>
      <c r="E514" s="3">
        <v>51.3</v>
      </c>
      <c r="F514" s="3">
        <v>62.54</v>
      </c>
      <c r="G514" s="3">
        <v>82.0</v>
      </c>
    </row>
    <row r="515">
      <c r="A515" s="2">
        <v>43862.0</v>
      </c>
      <c r="B515" s="3">
        <v>2020.0</v>
      </c>
      <c r="C515" s="3">
        <v>2.0</v>
      </c>
      <c r="D515" s="3" t="s">
        <v>9</v>
      </c>
      <c r="E515" s="3">
        <v>53.61</v>
      </c>
      <c r="F515" s="3">
        <v>64.51</v>
      </c>
      <c r="G515" s="3">
        <v>83.1</v>
      </c>
    </row>
    <row r="516">
      <c r="A516" s="2">
        <v>43891.0</v>
      </c>
      <c r="B516" s="3">
        <v>2020.0</v>
      </c>
      <c r="C516" s="3">
        <v>3.0</v>
      </c>
      <c r="D516" s="3" t="s">
        <v>9</v>
      </c>
      <c r="E516" s="3">
        <v>7.54</v>
      </c>
      <c r="F516" s="3">
        <v>13.71</v>
      </c>
      <c r="G516" s="3">
        <v>55.0</v>
      </c>
    </row>
    <row r="517">
      <c r="A517" s="2">
        <v>43922.0</v>
      </c>
      <c r="B517" s="3">
        <v>2020.0</v>
      </c>
      <c r="C517" s="3">
        <v>4.0</v>
      </c>
      <c r="D517" s="3" t="s">
        <v>9</v>
      </c>
      <c r="E517" s="3">
        <v>8.97</v>
      </c>
      <c r="F517" s="3">
        <v>16.3</v>
      </c>
      <c r="G517" s="3">
        <v>55.0</v>
      </c>
    </row>
    <row r="518">
      <c r="A518" s="2">
        <v>43952.0</v>
      </c>
      <c r="B518" s="3">
        <v>2020.0</v>
      </c>
      <c r="C518" s="3">
        <v>5.0</v>
      </c>
      <c r="D518" s="3" t="s">
        <v>9</v>
      </c>
      <c r="E518" s="3">
        <v>8.76</v>
      </c>
      <c r="F518" s="3">
        <v>15.93</v>
      </c>
      <c r="G518" s="3">
        <v>55.0</v>
      </c>
    </row>
    <row r="519">
      <c r="A519" s="2">
        <v>43983.0</v>
      </c>
      <c r="B519" s="3">
        <v>2020.0</v>
      </c>
      <c r="C519" s="3">
        <v>6.0</v>
      </c>
      <c r="D519" s="3" t="s">
        <v>9</v>
      </c>
      <c r="E519" s="3">
        <v>10.22</v>
      </c>
      <c r="F519" s="3">
        <v>18.58</v>
      </c>
      <c r="G519" s="3">
        <v>55.0</v>
      </c>
    </row>
    <row r="520">
      <c r="A520" s="2">
        <v>44013.0</v>
      </c>
      <c r="B520" s="3">
        <v>2020.0</v>
      </c>
      <c r="C520" s="3">
        <v>7.0</v>
      </c>
      <c r="D520" s="3" t="s">
        <v>9</v>
      </c>
      <c r="E520" s="3">
        <v>69.84</v>
      </c>
      <c r="F520" s="3">
        <v>126.98</v>
      </c>
      <c r="G520" s="3">
        <v>55.0</v>
      </c>
    </row>
    <row r="521">
      <c r="A521" s="2">
        <v>44044.0</v>
      </c>
      <c r="B521" s="3">
        <v>2020.0</v>
      </c>
      <c r="C521" s="3">
        <v>8.0</v>
      </c>
      <c r="D521" s="3" t="s">
        <v>9</v>
      </c>
      <c r="E521" s="3">
        <v>24.92</v>
      </c>
      <c r="F521" s="3">
        <v>45.3</v>
      </c>
      <c r="G521" s="3">
        <v>55.0</v>
      </c>
    </row>
    <row r="522">
      <c r="A522" s="2">
        <v>44075.0</v>
      </c>
      <c r="B522" s="3">
        <v>2020.0</v>
      </c>
      <c r="C522" s="3">
        <v>9.0</v>
      </c>
      <c r="D522" s="3" t="s">
        <v>9</v>
      </c>
      <c r="E522" s="3">
        <v>25.46</v>
      </c>
      <c r="F522" s="3">
        <v>46.29</v>
      </c>
      <c r="G522" s="3">
        <v>55.0</v>
      </c>
    </row>
    <row r="523">
      <c r="A523" s="4">
        <v>44105.0</v>
      </c>
      <c r="B523" s="3">
        <v>2020.0</v>
      </c>
      <c r="C523" s="3">
        <v>10.0</v>
      </c>
      <c r="D523" s="3" t="s">
        <v>9</v>
      </c>
      <c r="E523" s="3">
        <v>24.09</v>
      </c>
      <c r="F523" s="3">
        <v>43.8</v>
      </c>
      <c r="G523" s="3">
        <v>55.0</v>
      </c>
    </row>
    <row r="524">
      <c r="A524" s="4">
        <v>44136.0</v>
      </c>
      <c r="B524" s="3">
        <v>2020.0</v>
      </c>
      <c r="C524" s="3">
        <v>11.0</v>
      </c>
      <c r="D524" s="3" t="s">
        <v>9</v>
      </c>
      <c r="E524" s="3">
        <v>23.17</v>
      </c>
      <c r="F524" s="3">
        <v>42.13</v>
      </c>
      <c r="G524" s="3">
        <v>55.0</v>
      </c>
    </row>
    <row r="525">
      <c r="A525" s="4">
        <v>44166.0</v>
      </c>
      <c r="B525" s="3">
        <v>2020.0</v>
      </c>
      <c r="C525" s="3">
        <v>12.0</v>
      </c>
      <c r="D525" s="3" t="s">
        <v>9</v>
      </c>
      <c r="E525" s="3">
        <v>19.92</v>
      </c>
      <c r="F525" s="3">
        <v>36.21</v>
      </c>
      <c r="G525" s="3">
        <v>55.0</v>
      </c>
    </row>
    <row r="526">
      <c r="A526" s="2">
        <v>44197.0</v>
      </c>
      <c r="B526" s="3">
        <v>2021.0</v>
      </c>
      <c r="C526" s="3">
        <v>1.0</v>
      </c>
      <c r="D526" s="3" t="s">
        <v>9</v>
      </c>
      <c r="E526" s="3">
        <v>57.64</v>
      </c>
      <c r="F526" s="3">
        <v>69.48</v>
      </c>
      <c r="G526" s="3">
        <v>83.0</v>
      </c>
    </row>
    <row r="527">
      <c r="A527" s="2">
        <v>44228.0</v>
      </c>
      <c r="B527" s="3">
        <v>2021.0</v>
      </c>
      <c r="C527" s="3">
        <v>2.0</v>
      </c>
      <c r="D527" s="3" t="s">
        <v>9</v>
      </c>
      <c r="E527" s="3">
        <v>25.33</v>
      </c>
      <c r="F527" s="3">
        <v>31.13</v>
      </c>
      <c r="G527" s="3">
        <v>81.4</v>
      </c>
    </row>
    <row r="528">
      <c r="A528" s="2">
        <v>44256.0</v>
      </c>
      <c r="B528" s="3">
        <v>2021.0</v>
      </c>
      <c r="C528" s="3">
        <v>3.0</v>
      </c>
      <c r="D528" s="3" t="s">
        <v>9</v>
      </c>
      <c r="E528" s="3">
        <v>26.39</v>
      </c>
      <c r="F528" s="3">
        <v>32.22</v>
      </c>
      <c r="G528" s="3">
        <v>81.9</v>
      </c>
    </row>
    <row r="529">
      <c r="A529" s="2">
        <v>44287.0</v>
      </c>
      <c r="B529" s="3">
        <v>2021.0</v>
      </c>
      <c r="C529" s="3">
        <v>4.0</v>
      </c>
      <c r="D529" s="3" t="s">
        <v>9</v>
      </c>
      <c r="E529" s="3">
        <v>27.18</v>
      </c>
      <c r="F529" s="3">
        <v>33.4</v>
      </c>
      <c r="G529" s="3">
        <v>81.4</v>
      </c>
    </row>
    <row r="530">
      <c r="A530" s="2">
        <v>44317.0</v>
      </c>
      <c r="B530" s="3">
        <v>2021.0</v>
      </c>
      <c r="C530" s="3">
        <v>5.0</v>
      </c>
      <c r="D530" s="3" t="s">
        <v>9</v>
      </c>
      <c r="E530" s="3">
        <v>31.87</v>
      </c>
      <c r="F530" s="3">
        <v>40.59</v>
      </c>
      <c r="G530" s="3">
        <v>78.5</v>
      </c>
    </row>
    <row r="531">
      <c r="A531" s="2">
        <v>44348.0</v>
      </c>
      <c r="B531" s="3">
        <v>2021.0</v>
      </c>
      <c r="C531" s="3">
        <v>6.0</v>
      </c>
      <c r="D531" s="3" t="s">
        <v>9</v>
      </c>
      <c r="E531" s="3">
        <v>32.94</v>
      </c>
      <c r="F531" s="3">
        <v>41.89</v>
      </c>
      <c r="G531" s="3">
        <v>78.6</v>
      </c>
    </row>
    <row r="532">
      <c r="A532" s="2">
        <v>44378.0</v>
      </c>
      <c r="B532" s="3">
        <v>2021.0</v>
      </c>
      <c r="C532" s="3">
        <v>7.0</v>
      </c>
      <c r="D532" s="3" t="s">
        <v>9</v>
      </c>
      <c r="E532" s="3">
        <v>76.02</v>
      </c>
      <c r="F532" s="3">
        <v>93.7</v>
      </c>
      <c r="G532" s="3">
        <v>81.1</v>
      </c>
    </row>
    <row r="533">
      <c r="A533" s="2">
        <v>44409.0</v>
      </c>
      <c r="B533" s="3">
        <v>2021.0</v>
      </c>
      <c r="C533" s="3">
        <v>8.0</v>
      </c>
      <c r="D533" s="3" t="s">
        <v>9</v>
      </c>
      <c r="E533" s="3">
        <v>47.69</v>
      </c>
      <c r="F533" s="3">
        <v>57.61</v>
      </c>
      <c r="G533" s="3">
        <v>82.8</v>
      </c>
    </row>
    <row r="534">
      <c r="A534" s="2">
        <v>44440.0</v>
      </c>
      <c r="B534" s="3">
        <v>2021.0</v>
      </c>
      <c r="C534" s="3">
        <v>9.0</v>
      </c>
      <c r="D534" s="3" t="s">
        <v>9</v>
      </c>
      <c r="E534" s="3">
        <v>49.62</v>
      </c>
      <c r="F534" s="3">
        <v>63.77</v>
      </c>
      <c r="G534" s="3">
        <v>77.8</v>
      </c>
    </row>
    <row r="535">
      <c r="A535" s="4">
        <v>44470.0</v>
      </c>
      <c r="B535" s="3">
        <v>2021.0</v>
      </c>
      <c r="C535" s="3">
        <v>10.0</v>
      </c>
      <c r="D535" s="3" t="s">
        <v>9</v>
      </c>
      <c r="E535" s="3">
        <v>49.26</v>
      </c>
      <c r="F535" s="3">
        <v>58.05</v>
      </c>
      <c r="G535" s="3">
        <v>84.9</v>
      </c>
    </row>
    <row r="536">
      <c r="A536" s="4">
        <v>44501.0</v>
      </c>
      <c r="B536" s="3">
        <v>2021.0</v>
      </c>
      <c r="C536" s="3">
        <v>11.0</v>
      </c>
      <c r="D536" s="3" t="s">
        <v>9</v>
      </c>
      <c r="E536" s="3">
        <v>47.01</v>
      </c>
      <c r="F536" s="3">
        <v>56.84</v>
      </c>
      <c r="G536" s="3">
        <v>82.7</v>
      </c>
    </row>
    <row r="537">
      <c r="A537" s="4">
        <v>44531.0</v>
      </c>
      <c r="B537" s="3">
        <v>2021.0</v>
      </c>
      <c r="C537" s="3">
        <v>12.0</v>
      </c>
      <c r="D537" s="3" t="s">
        <v>9</v>
      </c>
      <c r="E537" s="3">
        <v>41.89</v>
      </c>
      <c r="F537" s="3">
        <v>49.49</v>
      </c>
      <c r="G537" s="3">
        <v>84.7</v>
      </c>
    </row>
    <row r="538">
      <c r="A538" s="2">
        <v>44562.0</v>
      </c>
      <c r="B538" s="3">
        <v>2022.0</v>
      </c>
      <c r="C538" s="3">
        <v>1.0</v>
      </c>
      <c r="D538" s="3" t="s">
        <v>9</v>
      </c>
      <c r="E538" s="3">
        <v>64.06</v>
      </c>
      <c r="F538" s="3">
        <v>76.02</v>
      </c>
      <c r="G538" s="3">
        <v>84.3</v>
      </c>
    </row>
    <row r="539">
      <c r="A539" s="2">
        <v>44593.0</v>
      </c>
      <c r="B539" s="3">
        <v>2022.0</v>
      </c>
      <c r="C539" s="3">
        <v>2.0</v>
      </c>
      <c r="D539" s="3" t="s">
        <v>9</v>
      </c>
      <c r="E539" s="3">
        <v>60.43</v>
      </c>
      <c r="F539" s="3">
        <v>73.33</v>
      </c>
      <c r="G539" s="3">
        <v>82.4</v>
      </c>
    </row>
    <row r="540">
      <c r="A540" s="2">
        <v>44621.0</v>
      </c>
      <c r="B540" s="3">
        <v>2022.0</v>
      </c>
      <c r="C540" s="3">
        <v>3.0</v>
      </c>
      <c r="D540" s="3" t="s">
        <v>9</v>
      </c>
      <c r="E540" s="3">
        <v>67.23</v>
      </c>
      <c r="F540" s="3">
        <v>85.77</v>
      </c>
      <c r="G540" s="3">
        <v>78.4</v>
      </c>
    </row>
    <row r="541">
      <c r="A541" s="2">
        <v>44652.0</v>
      </c>
      <c r="B541" s="3">
        <v>2022.0</v>
      </c>
      <c r="C541" s="3">
        <v>4.0</v>
      </c>
      <c r="D541" s="3" t="s">
        <v>9</v>
      </c>
      <c r="E541" s="3">
        <v>74.46</v>
      </c>
      <c r="F541" s="3">
        <v>86.04</v>
      </c>
      <c r="G541" s="3">
        <v>86.5</v>
      </c>
    </row>
    <row r="542">
      <c r="A542" s="2">
        <v>44682.0</v>
      </c>
      <c r="B542" s="3">
        <v>2022.0</v>
      </c>
      <c r="C542" s="3">
        <v>5.0</v>
      </c>
      <c r="D542" s="3" t="s">
        <v>9</v>
      </c>
      <c r="E542" s="3">
        <v>84.1</v>
      </c>
      <c r="F542" s="3">
        <v>99.0</v>
      </c>
      <c r="G542" s="3">
        <v>84.9</v>
      </c>
    </row>
    <row r="543">
      <c r="A543" s="2">
        <v>44713.0</v>
      </c>
      <c r="B543" s="3">
        <v>2022.0</v>
      </c>
      <c r="C543" s="3">
        <v>6.0</v>
      </c>
      <c r="D543" s="3" t="s">
        <v>9</v>
      </c>
      <c r="E543" s="3">
        <v>92.55</v>
      </c>
      <c r="F543" s="3">
        <v>113.07</v>
      </c>
      <c r="G543" s="3">
        <v>81.9</v>
      </c>
    </row>
    <row r="544">
      <c r="A544" s="2">
        <v>44743.0</v>
      </c>
      <c r="B544" s="3">
        <v>2022.0</v>
      </c>
      <c r="C544" s="3">
        <v>7.0</v>
      </c>
      <c r="D544" s="3" t="s">
        <v>9</v>
      </c>
      <c r="E544" s="3">
        <v>101.43</v>
      </c>
      <c r="F544" s="3">
        <v>126.21</v>
      </c>
      <c r="G544" s="3">
        <v>80.4</v>
      </c>
    </row>
    <row r="545">
      <c r="A545" s="2">
        <v>44774.0</v>
      </c>
      <c r="B545" s="3">
        <v>2022.0</v>
      </c>
      <c r="C545" s="3">
        <v>8.0</v>
      </c>
      <c r="D545" s="3" t="s">
        <v>9</v>
      </c>
      <c r="E545" s="3">
        <v>102.65</v>
      </c>
      <c r="F545" s="3">
        <v>121.43</v>
      </c>
      <c r="G545" s="3">
        <v>84.5</v>
      </c>
    </row>
    <row r="546">
      <c r="A546" s="2">
        <v>44805.0</v>
      </c>
      <c r="B546" s="3">
        <v>2022.0</v>
      </c>
      <c r="C546" s="3">
        <v>9.0</v>
      </c>
      <c r="D546" s="3" t="s">
        <v>9</v>
      </c>
      <c r="E546" s="3">
        <v>111.85</v>
      </c>
      <c r="F546" s="3">
        <v>139.78</v>
      </c>
      <c r="G546" s="3">
        <v>80.0</v>
      </c>
    </row>
    <row r="547">
      <c r="A547" s="4">
        <v>44835.0</v>
      </c>
      <c r="B547" s="3">
        <v>2022.0</v>
      </c>
      <c r="C547" s="3">
        <v>10.0</v>
      </c>
      <c r="D547" s="3" t="s">
        <v>9</v>
      </c>
      <c r="E547" s="3">
        <v>108.59</v>
      </c>
      <c r="F547" s="3">
        <v>132.71</v>
      </c>
      <c r="G547" s="3">
        <v>81.8</v>
      </c>
    </row>
    <row r="548">
      <c r="A548" s="4">
        <v>44866.0</v>
      </c>
      <c r="B548" s="3">
        <v>2022.0</v>
      </c>
      <c r="C548" s="3">
        <v>11.0</v>
      </c>
      <c r="D548" s="3" t="s">
        <v>9</v>
      </c>
      <c r="E548" s="3">
        <v>102.29</v>
      </c>
      <c r="F548" s="3">
        <v>123.36</v>
      </c>
      <c r="G548" s="3">
        <v>82.9</v>
      </c>
    </row>
    <row r="549">
      <c r="A549" s="4">
        <v>44896.0</v>
      </c>
      <c r="B549" s="3">
        <v>2022.0</v>
      </c>
      <c r="C549" s="3">
        <v>12.0</v>
      </c>
      <c r="D549" s="3" t="s">
        <v>9</v>
      </c>
      <c r="E549" s="3">
        <v>99.47</v>
      </c>
      <c r="F549" s="3">
        <v>121.06</v>
      </c>
      <c r="G549" s="3">
        <v>82.2</v>
      </c>
    </row>
    <row r="550">
      <c r="A550" s="2">
        <v>44927.0</v>
      </c>
      <c r="B550" s="3">
        <v>2023.0</v>
      </c>
      <c r="C550" s="3">
        <v>1.0</v>
      </c>
      <c r="D550" s="3" t="s">
        <v>9</v>
      </c>
      <c r="E550" s="3">
        <v>97.58</v>
      </c>
      <c r="F550" s="3">
        <v>118.11</v>
      </c>
      <c r="G550" s="3">
        <v>82.6</v>
      </c>
    </row>
    <row r="551">
      <c r="A551" s="2">
        <v>44958.0</v>
      </c>
      <c r="B551" s="3">
        <v>2023.0</v>
      </c>
      <c r="C551" s="3">
        <v>2.0</v>
      </c>
      <c r="D551" s="3" t="s">
        <v>9</v>
      </c>
      <c r="E551" s="3">
        <v>95.81</v>
      </c>
      <c r="F551" s="3">
        <v>119.26</v>
      </c>
      <c r="G551" s="3">
        <v>80.3</v>
      </c>
    </row>
    <row r="552">
      <c r="A552" s="2">
        <v>44986.0</v>
      </c>
      <c r="B552" s="3">
        <v>2023.0</v>
      </c>
      <c r="C552" s="3">
        <v>3.0</v>
      </c>
      <c r="D552" s="3" t="s">
        <v>9</v>
      </c>
      <c r="E552" s="3">
        <v>105.6</v>
      </c>
      <c r="F552" s="3">
        <v>127.32</v>
      </c>
      <c r="G552" s="3">
        <v>82.9</v>
      </c>
    </row>
    <row r="553">
      <c r="A553" s="2">
        <v>45017.0</v>
      </c>
      <c r="B553" s="3">
        <v>2023.0</v>
      </c>
      <c r="C553" s="3">
        <v>4.0</v>
      </c>
      <c r="D553" s="3" t="s">
        <v>9</v>
      </c>
      <c r="E553" s="3">
        <v>110.45</v>
      </c>
      <c r="F553" s="3">
        <v>140.19</v>
      </c>
      <c r="G553" s="3">
        <v>78.8</v>
      </c>
    </row>
    <row r="554">
      <c r="A554" s="2">
        <v>45047.0</v>
      </c>
      <c r="B554" s="3">
        <v>2023.0</v>
      </c>
      <c r="C554" s="3">
        <v>5.0</v>
      </c>
      <c r="D554" s="3" t="s">
        <v>9</v>
      </c>
      <c r="E554" s="3">
        <v>117.07</v>
      </c>
      <c r="F554" s="3">
        <v>138.59</v>
      </c>
      <c r="G554" s="3">
        <v>84.5</v>
      </c>
    </row>
    <row r="555">
      <c r="A555" s="2">
        <v>45078.0</v>
      </c>
      <c r="B555" s="3">
        <v>2023.0</v>
      </c>
      <c r="C555" s="3">
        <v>6.0</v>
      </c>
      <c r="D555" s="3" t="s">
        <v>9</v>
      </c>
      <c r="E555" s="3">
        <v>133.5</v>
      </c>
      <c r="F555" s="3">
        <v>170.78</v>
      </c>
      <c r="G555" s="3">
        <v>78.2</v>
      </c>
    </row>
    <row r="556">
      <c r="A556" s="2">
        <v>45108.0</v>
      </c>
      <c r="B556" s="3">
        <v>2023.0</v>
      </c>
      <c r="C556" s="3">
        <v>7.0</v>
      </c>
      <c r="D556" s="3" t="s">
        <v>9</v>
      </c>
      <c r="E556" s="3">
        <v>147.16</v>
      </c>
      <c r="F556" s="3">
        <v>181.88</v>
      </c>
      <c r="G556" s="3">
        <v>80.9</v>
      </c>
    </row>
    <row r="557">
      <c r="A557" s="2">
        <v>45139.0</v>
      </c>
      <c r="B557" s="3">
        <v>2023.0</v>
      </c>
      <c r="C557" s="3">
        <v>8.0</v>
      </c>
      <c r="D557" s="3" t="s">
        <v>9</v>
      </c>
      <c r="E557" s="3">
        <v>155.22</v>
      </c>
      <c r="F557" s="3">
        <v>189.69</v>
      </c>
      <c r="G557" s="3">
        <v>81.8</v>
      </c>
    </row>
    <row r="558">
      <c r="A558" s="2">
        <v>45170.0</v>
      </c>
      <c r="B558" s="3">
        <v>2023.0</v>
      </c>
      <c r="C558" s="3">
        <v>9.0</v>
      </c>
      <c r="D558" s="3" t="s">
        <v>9</v>
      </c>
      <c r="E558" s="3">
        <v>150.63</v>
      </c>
      <c r="F558" s="3">
        <v>178.57</v>
      </c>
      <c r="G558" s="3">
        <v>84.4</v>
      </c>
    </row>
    <row r="559">
      <c r="A559" s="4">
        <v>45200.0</v>
      </c>
      <c r="B559" s="3">
        <v>2023.0</v>
      </c>
      <c r="C559" s="3">
        <v>10.0</v>
      </c>
      <c r="D559" s="3" t="s">
        <v>9</v>
      </c>
      <c r="E559" s="3">
        <v>141.92</v>
      </c>
      <c r="F559" s="3">
        <v>177.37</v>
      </c>
      <c r="G559" s="3">
        <v>80.0</v>
      </c>
    </row>
    <row r="560">
      <c r="A560" s="4">
        <v>45231.0</v>
      </c>
      <c r="B560" s="3">
        <v>2023.0</v>
      </c>
      <c r="C560" s="3">
        <v>11.0</v>
      </c>
      <c r="D560" s="3" t="s">
        <v>9</v>
      </c>
      <c r="E560" s="3">
        <v>137.93</v>
      </c>
      <c r="F560" s="3">
        <v>164.89</v>
      </c>
      <c r="G560" s="3">
        <v>83.7</v>
      </c>
    </row>
    <row r="561">
      <c r="A561" s="4">
        <v>45261.0</v>
      </c>
      <c r="B561" s="3">
        <v>2023.0</v>
      </c>
      <c r="C561" s="3">
        <v>12.0</v>
      </c>
      <c r="D561" s="3" t="s">
        <v>9</v>
      </c>
      <c r="E561" s="3">
        <v>126.1</v>
      </c>
      <c r="F561" s="3">
        <v>160.3</v>
      </c>
      <c r="G561" s="3">
        <v>78.7</v>
      </c>
    </row>
    <row r="562">
      <c r="A562" s="2">
        <v>45292.0</v>
      </c>
      <c r="B562" s="3">
        <v>2024.0</v>
      </c>
      <c r="C562" s="3">
        <v>1.0</v>
      </c>
      <c r="D562" s="3" t="s">
        <v>9</v>
      </c>
      <c r="E562" s="3">
        <v>129.32</v>
      </c>
      <c r="F562" s="3">
        <v>160.06</v>
      </c>
      <c r="G562" s="3">
        <v>80.8</v>
      </c>
    </row>
    <row r="563">
      <c r="A563" s="2">
        <v>45323.0</v>
      </c>
      <c r="B563" s="3">
        <v>2024.0</v>
      </c>
      <c r="C563" s="3">
        <v>2.0</v>
      </c>
      <c r="D563" s="3" t="s">
        <v>9</v>
      </c>
      <c r="E563" s="3">
        <v>122.51</v>
      </c>
      <c r="F563" s="3">
        <v>156.49</v>
      </c>
      <c r="G563" s="3">
        <v>78.3</v>
      </c>
    </row>
    <row r="564">
      <c r="A564" s="2">
        <v>45352.0</v>
      </c>
      <c r="B564" s="3">
        <v>2024.0</v>
      </c>
      <c r="C564" s="3">
        <v>3.0</v>
      </c>
      <c r="D564" s="3" t="s">
        <v>9</v>
      </c>
      <c r="E564" s="3">
        <v>125.04</v>
      </c>
      <c r="F564" s="3">
        <v>152.52</v>
      </c>
      <c r="G564" s="3">
        <v>82.0</v>
      </c>
    </row>
    <row r="565">
      <c r="A565" s="2">
        <v>45383.0</v>
      </c>
      <c r="B565" s="3">
        <v>2024.0</v>
      </c>
      <c r="C565" s="3">
        <v>4.0</v>
      </c>
      <c r="D565" s="3" t="s">
        <v>9</v>
      </c>
      <c r="E565" s="3">
        <v>140.3</v>
      </c>
      <c r="F565" s="3">
        <v>174.38</v>
      </c>
      <c r="G565" s="3">
        <v>80.5</v>
      </c>
    </row>
    <row r="566">
      <c r="A566" s="2">
        <v>45413.0</v>
      </c>
      <c r="B566" s="3">
        <v>2024.0</v>
      </c>
      <c r="C566" s="3">
        <v>5.0</v>
      </c>
      <c r="D566" s="3" t="s">
        <v>9</v>
      </c>
      <c r="E566" s="3">
        <v>155.9</v>
      </c>
      <c r="F566" s="3">
        <v>193.34</v>
      </c>
      <c r="G566" s="3">
        <v>80.6</v>
      </c>
    </row>
    <row r="567">
      <c r="A567" s="2">
        <v>45444.0</v>
      </c>
      <c r="B567" s="3">
        <v>2024.0</v>
      </c>
      <c r="C567" s="3">
        <v>6.0</v>
      </c>
      <c r="D567" s="3" t="s">
        <v>9</v>
      </c>
      <c r="E567" s="3">
        <v>157.1</v>
      </c>
      <c r="F567" s="3">
        <v>184.66</v>
      </c>
      <c r="G567" s="3">
        <v>85.1</v>
      </c>
    </row>
    <row r="568">
      <c r="A568" s="2">
        <v>45474.0</v>
      </c>
      <c r="B568" s="3">
        <v>2024.0</v>
      </c>
      <c r="C568" s="3">
        <v>7.0</v>
      </c>
      <c r="D568" s="3" t="s">
        <v>9</v>
      </c>
      <c r="E568" s="3">
        <v>170.56</v>
      </c>
      <c r="F568" s="3">
        <v>210.84</v>
      </c>
      <c r="G568" s="3">
        <v>80.9</v>
      </c>
    </row>
    <row r="569">
      <c r="A569" s="2">
        <v>45505.0</v>
      </c>
      <c r="B569" s="3">
        <v>2024.0</v>
      </c>
      <c r="C569" s="3">
        <v>8.0</v>
      </c>
      <c r="D569" s="3" t="s">
        <v>9</v>
      </c>
      <c r="E569" s="3">
        <v>172.65</v>
      </c>
      <c r="F569" s="3">
        <v>203.83</v>
      </c>
      <c r="G569" s="3">
        <v>84.7</v>
      </c>
    </row>
    <row r="570">
      <c r="A570" s="2">
        <v>45536.0</v>
      </c>
      <c r="B570" s="3">
        <v>2024.0</v>
      </c>
      <c r="C570" s="3">
        <v>9.0</v>
      </c>
      <c r="D570" s="3" t="s">
        <v>9</v>
      </c>
      <c r="E570" s="3">
        <v>179.07</v>
      </c>
      <c r="F570" s="3">
        <v>222.82</v>
      </c>
      <c r="G570" s="3">
        <v>80.4</v>
      </c>
    </row>
    <row r="571">
      <c r="A571" s="4">
        <v>45566.0</v>
      </c>
      <c r="B571" s="3">
        <v>2024.0</v>
      </c>
      <c r="C571" s="3">
        <v>10.0</v>
      </c>
      <c r="D571" s="3" t="s">
        <v>9</v>
      </c>
      <c r="E571" s="3">
        <v>163.73</v>
      </c>
      <c r="F571" s="3">
        <v>199.23</v>
      </c>
      <c r="G571" s="3">
        <v>82.2</v>
      </c>
    </row>
    <row r="572">
      <c r="A572" s="4">
        <v>45597.0</v>
      </c>
      <c r="B572" s="3">
        <v>2024.0</v>
      </c>
      <c r="C572" s="3">
        <v>11.0</v>
      </c>
      <c r="D572" s="3" t="s">
        <v>9</v>
      </c>
      <c r="E572" s="3">
        <v>148.86</v>
      </c>
      <c r="F572" s="3">
        <v>181.79</v>
      </c>
      <c r="G572" s="3">
        <v>81.9</v>
      </c>
    </row>
    <row r="573">
      <c r="A573" s="4">
        <v>45627.0</v>
      </c>
      <c r="B573" s="3">
        <v>2024.0</v>
      </c>
      <c r="C573" s="3">
        <v>12.0</v>
      </c>
      <c r="D573" s="3" t="s">
        <v>9</v>
      </c>
      <c r="E573" s="3">
        <v>142.63</v>
      </c>
      <c r="F573" s="3">
        <v>169.23</v>
      </c>
      <c r="G573" s="3">
        <v>84.3</v>
      </c>
    </row>
    <row r="574">
      <c r="A574" s="2">
        <v>45658.0</v>
      </c>
      <c r="B574" s="3">
        <v>2025.0</v>
      </c>
      <c r="C574" s="3">
        <v>1.0</v>
      </c>
      <c r="D574" s="3" t="s">
        <v>9</v>
      </c>
      <c r="E574" s="3">
        <v>139.84</v>
      </c>
      <c r="F574" s="3">
        <v>171.92</v>
      </c>
      <c r="G574" s="3">
        <v>81.3</v>
      </c>
    </row>
    <row r="575">
      <c r="A575" s="2">
        <v>45689.0</v>
      </c>
      <c r="B575" s="3">
        <v>2025.0</v>
      </c>
      <c r="C575" s="3">
        <v>2.0</v>
      </c>
      <c r="D575" s="3" t="s">
        <v>9</v>
      </c>
      <c r="E575" s="3">
        <v>131.61</v>
      </c>
      <c r="F575" s="3">
        <v>157.94</v>
      </c>
      <c r="G575" s="3">
        <v>83.3</v>
      </c>
    </row>
    <row r="576">
      <c r="A576" s="2">
        <v>45717.0</v>
      </c>
      <c r="B576" s="3">
        <v>2025.0</v>
      </c>
      <c r="C576" s="3">
        <v>3.0</v>
      </c>
      <c r="D576" s="3" t="s">
        <v>9</v>
      </c>
      <c r="E576" s="3">
        <v>133.94</v>
      </c>
      <c r="F576" s="3">
        <v>161.03</v>
      </c>
      <c r="G576" s="3">
        <v>83.2</v>
      </c>
    </row>
    <row r="577">
      <c r="A577" s="2">
        <v>45748.0</v>
      </c>
      <c r="B577" s="3">
        <v>2025.0</v>
      </c>
      <c r="C577" s="3">
        <v>4.0</v>
      </c>
      <c r="D577" s="3" t="s">
        <v>9</v>
      </c>
      <c r="E577" s="3">
        <v>145.3</v>
      </c>
      <c r="F577" s="3">
        <v>181.49</v>
      </c>
      <c r="G577" s="3">
        <v>80.1</v>
      </c>
    </row>
    <row r="578">
      <c r="A578" s="2">
        <v>45778.0</v>
      </c>
      <c r="B578" s="3">
        <v>2025.0</v>
      </c>
      <c r="C578" s="3">
        <v>5.0</v>
      </c>
      <c r="D578" s="3" t="s">
        <v>9</v>
      </c>
      <c r="E578" s="3">
        <v>153.85</v>
      </c>
      <c r="F578" s="3">
        <v>181.23</v>
      </c>
      <c r="G578" s="3">
        <v>84.9</v>
      </c>
    </row>
    <row r="579">
      <c r="A579" s="2">
        <v>45809.0</v>
      </c>
      <c r="B579" s="3">
        <v>2025.0</v>
      </c>
      <c r="C579" s="3">
        <v>6.0</v>
      </c>
      <c r="D579" s="3" t="s">
        <v>9</v>
      </c>
      <c r="E579" s="3">
        <v>170.3</v>
      </c>
      <c r="F579" s="3">
        <v>199.7</v>
      </c>
      <c r="G579" s="3">
        <v>85.3</v>
      </c>
    </row>
    <row r="580">
      <c r="A580" s="2">
        <v>45839.0</v>
      </c>
      <c r="B580" s="3">
        <v>2025.0</v>
      </c>
      <c r="C580" s="3">
        <v>7.0</v>
      </c>
      <c r="D580" s="3" t="s">
        <v>9</v>
      </c>
      <c r="E580" s="3">
        <v>178.02</v>
      </c>
      <c r="F580" s="3">
        <v>215.57</v>
      </c>
      <c r="G580" s="3">
        <v>82.6</v>
      </c>
    </row>
    <row r="581">
      <c r="A581" s="2">
        <v>45870.0</v>
      </c>
      <c r="B581" s="3">
        <v>2025.0</v>
      </c>
      <c r="C581" s="3">
        <v>8.0</v>
      </c>
      <c r="D581" s="3" t="s">
        <v>9</v>
      </c>
      <c r="E581" s="3">
        <v>198.72</v>
      </c>
      <c r="F581" s="3">
        <v>248.76</v>
      </c>
      <c r="G581" s="3">
        <v>79.9</v>
      </c>
    </row>
    <row r="582">
      <c r="A582" s="2">
        <v>45901.0</v>
      </c>
      <c r="B582" s="3">
        <v>2025.0</v>
      </c>
      <c r="C582" s="3">
        <v>9.0</v>
      </c>
      <c r="D582" s="3" t="s">
        <v>9</v>
      </c>
      <c r="E582" s="3">
        <v>172.56</v>
      </c>
      <c r="F582" s="3">
        <v>204.03</v>
      </c>
      <c r="G582" s="3">
        <v>84.6</v>
      </c>
    </row>
    <row r="583">
      <c r="A583" s="4">
        <v>45931.0</v>
      </c>
      <c r="B583" s="3">
        <v>2025.0</v>
      </c>
      <c r="C583" s="3">
        <v>10.0</v>
      </c>
      <c r="D583" s="3" t="s">
        <v>9</v>
      </c>
      <c r="E583" s="3">
        <v>170.41</v>
      </c>
      <c r="F583" s="3">
        <v>207.92</v>
      </c>
      <c r="G583" s="3">
        <v>82.0</v>
      </c>
    </row>
    <row r="584">
      <c r="A584" s="4">
        <v>45962.0</v>
      </c>
      <c r="B584" s="3">
        <v>2025.0</v>
      </c>
      <c r="C584" s="3">
        <v>11.0</v>
      </c>
      <c r="D584" s="3" t="s">
        <v>9</v>
      </c>
      <c r="E584" s="3">
        <v>160.49</v>
      </c>
      <c r="F584" s="3">
        <v>194.44</v>
      </c>
      <c r="G584" s="3">
        <v>82.5</v>
      </c>
    </row>
    <row r="585">
      <c r="A585" s="4">
        <v>45992.0</v>
      </c>
      <c r="B585" s="3">
        <v>2025.0</v>
      </c>
      <c r="C585" s="3">
        <v>12.0</v>
      </c>
      <c r="D585" s="3" t="s">
        <v>9</v>
      </c>
      <c r="E585" s="3">
        <v>147.59</v>
      </c>
      <c r="F585" s="3">
        <v>180.78</v>
      </c>
      <c r="G585" s="3">
        <v>81.6</v>
      </c>
    </row>
    <row r="586">
      <c r="A586" s="2">
        <v>46023.0</v>
      </c>
      <c r="B586" s="3">
        <v>2026.0</v>
      </c>
      <c r="C586" s="3">
        <v>1.0</v>
      </c>
      <c r="D586" s="3" t="s">
        <v>9</v>
      </c>
      <c r="E586" s="3">
        <v>145.52</v>
      </c>
      <c r="F586" s="3">
        <v>181.93</v>
      </c>
      <c r="G586" s="3">
        <v>80.0</v>
      </c>
    </row>
    <row r="587">
      <c r="A587" s="2">
        <v>46054.0</v>
      </c>
      <c r="B587" s="3">
        <v>2026.0</v>
      </c>
      <c r="C587" s="3">
        <v>2.0</v>
      </c>
      <c r="D587" s="3" t="s">
        <v>9</v>
      </c>
      <c r="E587" s="3">
        <v>137.34</v>
      </c>
      <c r="F587" s="3">
        <v>168.91</v>
      </c>
      <c r="G587" s="3">
        <v>81.3</v>
      </c>
    </row>
    <row r="588">
      <c r="A588" s="2">
        <v>46082.0</v>
      </c>
      <c r="B588" s="3">
        <v>2026.0</v>
      </c>
      <c r="C588" s="3">
        <v>3.0</v>
      </c>
      <c r="D588" s="3" t="s">
        <v>9</v>
      </c>
      <c r="E588" s="3">
        <v>137.54</v>
      </c>
      <c r="F588" s="3">
        <v>169.48</v>
      </c>
      <c r="G588" s="3">
        <v>81.2</v>
      </c>
    </row>
    <row r="589">
      <c r="A589" s="2">
        <v>46113.0</v>
      </c>
      <c r="B589" s="3">
        <v>2026.0</v>
      </c>
      <c r="C589" s="3">
        <v>4.0</v>
      </c>
      <c r="D589" s="3" t="s">
        <v>9</v>
      </c>
      <c r="E589" s="3">
        <v>153.17</v>
      </c>
      <c r="F589" s="3">
        <v>188.63</v>
      </c>
      <c r="G589" s="3">
        <v>81.2</v>
      </c>
    </row>
    <row r="590">
      <c r="A590" s="2">
        <v>40179.0</v>
      </c>
      <c r="B590" s="3">
        <v>2010.0</v>
      </c>
      <c r="C590" s="3">
        <v>1.0</v>
      </c>
      <c r="D590" s="3" t="s">
        <v>10</v>
      </c>
      <c r="E590" s="3">
        <v>13.81</v>
      </c>
      <c r="F590" s="3">
        <v>16.85</v>
      </c>
      <c r="G590" s="3">
        <v>82.0</v>
      </c>
    </row>
    <row r="591">
      <c r="A591" s="2">
        <v>40210.0</v>
      </c>
      <c r="B591" s="3">
        <v>2010.0</v>
      </c>
      <c r="C591" s="3">
        <v>2.0</v>
      </c>
      <c r="D591" s="3" t="s">
        <v>10</v>
      </c>
      <c r="E591" s="3">
        <v>13.47</v>
      </c>
      <c r="F591" s="3">
        <v>16.16</v>
      </c>
      <c r="G591" s="3">
        <v>83.4</v>
      </c>
    </row>
    <row r="592">
      <c r="A592" s="2">
        <v>40238.0</v>
      </c>
      <c r="B592" s="3">
        <v>2010.0</v>
      </c>
      <c r="C592" s="3">
        <v>3.0</v>
      </c>
      <c r="D592" s="3" t="s">
        <v>10</v>
      </c>
      <c r="E592" s="3">
        <v>14.84</v>
      </c>
      <c r="F592" s="3">
        <v>18.3</v>
      </c>
      <c r="G592" s="3">
        <v>81.1</v>
      </c>
    </row>
    <row r="593">
      <c r="A593" s="2">
        <v>40269.0</v>
      </c>
      <c r="B593" s="3">
        <v>2010.0</v>
      </c>
      <c r="C593" s="3">
        <v>4.0</v>
      </c>
      <c r="D593" s="3" t="s">
        <v>10</v>
      </c>
      <c r="E593" s="3">
        <v>15.49</v>
      </c>
      <c r="F593" s="3">
        <v>19.0</v>
      </c>
      <c r="G593" s="3">
        <v>81.5</v>
      </c>
    </row>
    <row r="594">
      <c r="A594" s="2">
        <v>40299.0</v>
      </c>
      <c r="B594" s="3">
        <v>2010.0</v>
      </c>
      <c r="C594" s="3">
        <v>5.0</v>
      </c>
      <c r="D594" s="3" t="s">
        <v>10</v>
      </c>
      <c r="E594" s="3">
        <v>16.85</v>
      </c>
      <c r="F594" s="3">
        <v>19.79</v>
      </c>
      <c r="G594" s="3">
        <v>85.1</v>
      </c>
    </row>
    <row r="595">
      <c r="A595" s="2">
        <v>40330.0</v>
      </c>
      <c r="B595" s="3">
        <v>2010.0</v>
      </c>
      <c r="C595" s="3">
        <v>6.0</v>
      </c>
      <c r="D595" s="3" t="s">
        <v>10</v>
      </c>
      <c r="E595" s="3">
        <v>18.37</v>
      </c>
      <c r="F595" s="3">
        <v>23.42</v>
      </c>
      <c r="G595" s="3">
        <v>78.5</v>
      </c>
    </row>
    <row r="596">
      <c r="A596" s="2">
        <v>40360.0</v>
      </c>
      <c r="B596" s="3">
        <v>2010.0</v>
      </c>
      <c r="C596" s="3">
        <v>7.0</v>
      </c>
      <c r="D596" s="3" t="s">
        <v>10</v>
      </c>
      <c r="E596" s="3">
        <v>19.47</v>
      </c>
      <c r="F596" s="3">
        <v>23.05</v>
      </c>
      <c r="G596" s="3">
        <v>84.5</v>
      </c>
    </row>
    <row r="597">
      <c r="A597" s="2">
        <v>40391.0</v>
      </c>
      <c r="B597" s="3">
        <v>2010.0</v>
      </c>
      <c r="C597" s="3">
        <v>8.0</v>
      </c>
      <c r="D597" s="3" t="s">
        <v>10</v>
      </c>
      <c r="E597" s="3">
        <v>19.61</v>
      </c>
      <c r="F597" s="3">
        <v>23.35</v>
      </c>
      <c r="G597" s="3">
        <v>84.0</v>
      </c>
    </row>
    <row r="598">
      <c r="A598" s="2">
        <v>40422.0</v>
      </c>
      <c r="B598" s="3">
        <v>2010.0</v>
      </c>
      <c r="C598" s="3">
        <v>9.0</v>
      </c>
      <c r="D598" s="3" t="s">
        <v>10</v>
      </c>
      <c r="E598" s="3">
        <v>19.18</v>
      </c>
      <c r="F598" s="3">
        <v>24.27</v>
      </c>
      <c r="G598" s="3">
        <v>79.0</v>
      </c>
    </row>
    <row r="599">
      <c r="A599" s="4">
        <v>40452.0</v>
      </c>
      <c r="B599" s="3">
        <v>2010.0</v>
      </c>
      <c r="C599" s="3">
        <v>10.0</v>
      </c>
      <c r="D599" s="3" t="s">
        <v>10</v>
      </c>
      <c r="E599" s="3">
        <v>18.89</v>
      </c>
      <c r="F599" s="3">
        <v>24.07</v>
      </c>
      <c r="G599" s="3">
        <v>78.5</v>
      </c>
    </row>
    <row r="600">
      <c r="A600" s="4">
        <v>40483.0</v>
      </c>
      <c r="B600" s="3">
        <v>2010.0</v>
      </c>
      <c r="C600" s="3">
        <v>11.0</v>
      </c>
      <c r="D600" s="3" t="s">
        <v>10</v>
      </c>
      <c r="E600" s="3">
        <v>17.54</v>
      </c>
      <c r="F600" s="3">
        <v>20.74</v>
      </c>
      <c r="G600" s="3">
        <v>84.6</v>
      </c>
    </row>
    <row r="601">
      <c r="A601" s="4">
        <v>40513.0</v>
      </c>
      <c r="B601" s="3">
        <v>2010.0</v>
      </c>
      <c r="C601" s="3">
        <v>12.0</v>
      </c>
      <c r="D601" s="3" t="s">
        <v>10</v>
      </c>
      <c r="E601" s="3">
        <v>15.58</v>
      </c>
      <c r="F601" s="3">
        <v>19.61</v>
      </c>
      <c r="G601" s="3">
        <v>79.4</v>
      </c>
    </row>
    <row r="602">
      <c r="A602" s="2">
        <v>40544.0</v>
      </c>
      <c r="B602" s="3">
        <v>2011.0</v>
      </c>
      <c r="C602" s="3">
        <v>1.0</v>
      </c>
      <c r="D602" s="3" t="s">
        <v>10</v>
      </c>
      <c r="E602" s="3">
        <v>15.18</v>
      </c>
      <c r="F602" s="3">
        <v>18.55</v>
      </c>
      <c r="G602" s="3">
        <v>81.9</v>
      </c>
    </row>
    <row r="603">
      <c r="A603" s="2">
        <v>40575.0</v>
      </c>
      <c r="B603" s="3">
        <v>2011.0</v>
      </c>
      <c r="C603" s="3">
        <v>2.0</v>
      </c>
      <c r="D603" s="3" t="s">
        <v>10</v>
      </c>
      <c r="E603" s="3">
        <v>15.27</v>
      </c>
      <c r="F603" s="3">
        <v>18.01</v>
      </c>
      <c r="G603" s="3">
        <v>84.8</v>
      </c>
    </row>
    <row r="604">
      <c r="A604" s="2">
        <v>40603.0</v>
      </c>
      <c r="B604" s="3">
        <v>2011.0</v>
      </c>
      <c r="C604" s="3">
        <v>3.0</v>
      </c>
      <c r="D604" s="3" t="s">
        <v>10</v>
      </c>
      <c r="E604" s="3">
        <v>16.42</v>
      </c>
      <c r="F604" s="3">
        <v>19.78</v>
      </c>
      <c r="G604" s="3">
        <v>83.0</v>
      </c>
    </row>
    <row r="605">
      <c r="A605" s="2">
        <v>40634.0</v>
      </c>
      <c r="B605" s="3">
        <v>2011.0</v>
      </c>
      <c r="C605" s="3">
        <v>4.0</v>
      </c>
      <c r="D605" s="3" t="s">
        <v>10</v>
      </c>
      <c r="E605" s="3">
        <v>17.19</v>
      </c>
      <c r="F605" s="3">
        <v>20.76</v>
      </c>
      <c r="G605" s="3">
        <v>82.8</v>
      </c>
    </row>
    <row r="606">
      <c r="A606" s="2">
        <v>40664.0</v>
      </c>
      <c r="B606" s="3">
        <v>2011.0</v>
      </c>
      <c r="C606" s="3">
        <v>5.0</v>
      </c>
      <c r="D606" s="3" t="s">
        <v>10</v>
      </c>
      <c r="E606" s="3">
        <v>18.19</v>
      </c>
      <c r="F606" s="3">
        <v>21.73</v>
      </c>
      <c r="G606" s="3">
        <v>83.7</v>
      </c>
    </row>
    <row r="607">
      <c r="A607" s="2">
        <v>40695.0</v>
      </c>
      <c r="B607" s="3">
        <v>2011.0</v>
      </c>
      <c r="C607" s="3">
        <v>6.0</v>
      </c>
      <c r="D607" s="3" t="s">
        <v>10</v>
      </c>
      <c r="E607" s="3">
        <v>19.58</v>
      </c>
      <c r="F607" s="3">
        <v>23.4</v>
      </c>
      <c r="G607" s="3">
        <v>83.7</v>
      </c>
    </row>
    <row r="608">
      <c r="A608" s="2">
        <v>40725.0</v>
      </c>
      <c r="B608" s="3">
        <v>2011.0</v>
      </c>
      <c r="C608" s="3">
        <v>7.0</v>
      </c>
      <c r="D608" s="3" t="s">
        <v>10</v>
      </c>
      <c r="E608" s="3">
        <v>22.25</v>
      </c>
      <c r="F608" s="3">
        <v>26.99</v>
      </c>
      <c r="G608" s="3">
        <v>82.4</v>
      </c>
    </row>
    <row r="609">
      <c r="A609" s="2">
        <v>40756.0</v>
      </c>
      <c r="B609" s="3">
        <v>2011.0</v>
      </c>
      <c r="C609" s="3">
        <v>8.0</v>
      </c>
      <c r="D609" s="3" t="s">
        <v>10</v>
      </c>
      <c r="E609" s="3">
        <v>21.93</v>
      </c>
      <c r="F609" s="3">
        <v>26.48</v>
      </c>
      <c r="G609" s="3">
        <v>82.8</v>
      </c>
    </row>
    <row r="610">
      <c r="A610" s="2">
        <v>40787.0</v>
      </c>
      <c r="B610" s="3">
        <v>2011.0</v>
      </c>
      <c r="C610" s="3">
        <v>9.0</v>
      </c>
      <c r="D610" s="3" t="s">
        <v>10</v>
      </c>
      <c r="E610" s="3">
        <v>20.05</v>
      </c>
      <c r="F610" s="3">
        <v>24.27</v>
      </c>
      <c r="G610" s="3">
        <v>82.6</v>
      </c>
    </row>
    <row r="611">
      <c r="A611" s="4">
        <v>40817.0</v>
      </c>
      <c r="B611" s="3">
        <v>2011.0</v>
      </c>
      <c r="C611" s="3">
        <v>10.0</v>
      </c>
      <c r="D611" s="3" t="s">
        <v>10</v>
      </c>
      <c r="E611" s="3">
        <v>20.89</v>
      </c>
      <c r="F611" s="3">
        <v>25.51</v>
      </c>
      <c r="G611" s="3">
        <v>81.9</v>
      </c>
    </row>
    <row r="612">
      <c r="A612" s="4">
        <v>40848.0</v>
      </c>
      <c r="B612" s="3">
        <v>2011.0</v>
      </c>
      <c r="C612" s="3">
        <v>11.0</v>
      </c>
      <c r="D612" s="3" t="s">
        <v>10</v>
      </c>
      <c r="E612" s="3">
        <v>20.09</v>
      </c>
      <c r="F612" s="3">
        <v>24.54</v>
      </c>
      <c r="G612" s="3">
        <v>81.9</v>
      </c>
    </row>
    <row r="613">
      <c r="A613" s="4">
        <v>40878.0</v>
      </c>
      <c r="B613" s="3">
        <v>2011.0</v>
      </c>
      <c r="C613" s="3">
        <v>12.0</v>
      </c>
      <c r="D613" s="3" t="s">
        <v>10</v>
      </c>
      <c r="E613" s="3">
        <v>17.73</v>
      </c>
      <c r="F613" s="3">
        <v>21.7</v>
      </c>
      <c r="G613" s="3">
        <v>81.7</v>
      </c>
    </row>
    <row r="614">
      <c r="A614" s="2">
        <v>40909.0</v>
      </c>
      <c r="B614" s="3">
        <v>2012.0</v>
      </c>
      <c r="C614" s="3">
        <v>1.0</v>
      </c>
      <c r="D614" s="3" t="s">
        <v>10</v>
      </c>
      <c r="E614" s="3">
        <v>17.44</v>
      </c>
      <c r="F614" s="3">
        <v>21.21</v>
      </c>
      <c r="G614" s="3">
        <v>82.2</v>
      </c>
    </row>
    <row r="615">
      <c r="A615" s="2">
        <v>40940.0</v>
      </c>
      <c r="B615" s="3">
        <v>2012.0</v>
      </c>
      <c r="C615" s="3">
        <v>2.0</v>
      </c>
      <c r="D615" s="3" t="s">
        <v>10</v>
      </c>
      <c r="E615" s="3">
        <v>17.23</v>
      </c>
      <c r="F615" s="3">
        <v>20.49</v>
      </c>
      <c r="G615" s="3">
        <v>84.1</v>
      </c>
    </row>
    <row r="616">
      <c r="A616" s="2">
        <v>40969.0</v>
      </c>
      <c r="B616" s="3">
        <v>2012.0</v>
      </c>
      <c r="C616" s="3">
        <v>3.0</v>
      </c>
      <c r="D616" s="3" t="s">
        <v>10</v>
      </c>
      <c r="E616" s="3">
        <v>17.12</v>
      </c>
      <c r="F616" s="3">
        <v>20.79</v>
      </c>
      <c r="G616" s="3">
        <v>82.4</v>
      </c>
    </row>
    <row r="617">
      <c r="A617" s="2">
        <v>41000.0</v>
      </c>
      <c r="B617" s="3">
        <v>2012.0</v>
      </c>
      <c r="C617" s="3">
        <v>4.0</v>
      </c>
      <c r="D617" s="3" t="s">
        <v>10</v>
      </c>
      <c r="E617" s="3">
        <v>19.71</v>
      </c>
      <c r="F617" s="3">
        <v>25.1</v>
      </c>
      <c r="G617" s="3">
        <v>78.5</v>
      </c>
    </row>
    <row r="618">
      <c r="A618" s="2">
        <v>41030.0</v>
      </c>
      <c r="B618" s="3">
        <v>2012.0</v>
      </c>
      <c r="C618" s="3">
        <v>5.0</v>
      </c>
      <c r="D618" s="3" t="s">
        <v>10</v>
      </c>
      <c r="E618" s="3">
        <v>20.78</v>
      </c>
      <c r="F618" s="3">
        <v>25.71</v>
      </c>
      <c r="G618" s="3">
        <v>80.8</v>
      </c>
    </row>
    <row r="619">
      <c r="A619" s="2">
        <v>41061.0</v>
      </c>
      <c r="B619" s="3">
        <v>2012.0</v>
      </c>
      <c r="C619" s="3">
        <v>6.0</v>
      </c>
      <c r="D619" s="3" t="s">
        <v>10</v>
      </c>
      <c r="E619" s="3">
        <v>22.15</v>
      </c>
      <c r="F619" s="3">
        <v>27.62</v>
      </c>
      <c r="G619" s="3">
        <v>80.2</v>
      </c>
    </row>
    <row r="620">
      <c r="A620" s="2">
        <v>41091.0</v>
      </c>
      <c r="B620" s="3">
        <v>2012.0</v>
      </c>
      <c r="C620" s="3">
        <v>7.0</v>
      </c>
      <c r="D620" s="3" t="s">
        <v>10</v>
      </c>
      <c r="E620" s="3">
        <v>23.61</v>
      </c>
      <c r="F620" s="3">
        <v>27.55</v>
      </c>
      <c r="G620" s="3">
        <v>85.7</v>
      </c>
    </row>
    <row r="621">
      <c r="A621" s="2">
        <v>41122.0</v>
      </c>
      <c r="B621" s="3">
        <v>2012.0</v>
      </c>
      <c r="C621" s="3">
        <v>8.0</v>
      </c>
      <c r="D621" s="3" t="s">
        <v>10</v>
      </c>
      <c r="E621" s="3">
        <v>23.44</v>
      </c>
      <c r="F621" s="3">
        <v>29.42</v>
      </c>
      <c r="G621" s="3">
        <v>79.7</v>
      </c>
    </row>
    <row r="622">
      <c r="A622" s="2">
        <v>41153.0</v>
      </c>
      <c r="B622" s="3">
        <v>2012.0</v>
      </c>
      <c r="C622" s="3">
        <v>9.0</v>
      </c>
      <c r="D622" s="3" t="s">
        <v>10</v>
      </c>
      <c r="E622" s="3">
        <v>23.18</v>
      </c>
      <c r="F622" s="3">
        <v>27.13</v>
      </c>
      <c r="G622" s="3">
        <v>85.5</v>
      </c>
    </row>
    <row r="623">
      <c r="A623" s="4">
        <v>41183.0</v>
      </c>
      <c r="B623" s="3">
        <v>2012.0</v>
      </c>
      <c r="C623" s="3">
        <v>10.0</v>
      </c>
      <c r="D623" s="3" t="s">
        <v>10</v>
      </c>
      <c r="E623" s="3">
        <v>22.79</v>
      </c>
      <c r="F623" s="3">
        <v>27.82</v>
      </c>
      <c r="G623" s="3">
        <v>81.9</v>
      </c>
    </row>
    <row r="624">
      <c r="A624" s="4">
        <v>41214.0</v>
      </c>
      <c r="B624" s="3">
        <v>2012.0</v>
      </c>
      <c r="C624" s="3">
        <v>11.0</v>
      </c>
      <c r="D624" s="3" t="s">
        <v>10</v>
      </c>
      <c r="E624" s="3">
        <v>21.41</v>
      </c>
      <c r="F624" s="3">
        <v>26.72</v>
      </c>
      <c r="G624" s="3">
        <v>80.1</v>
      </c>
    </row>
    <row r="625">
      <c r="A625" s="4">
        <v>41244.0</v>
      </c>
      <c r="B625" s="3">
        <v>2012.0</v>
      </c>
      <c r="C625" s="3">
        <v>12.0</v>
      </c>
      <c r="D625" s="3" t="s">
        <v>10</v>
      </c>
      <c r="E625" s="3">
        <v>20.05</v>
      </c>
      <c r="F625" s="3">
        <v>23.07</v>
      </c>
      <c r="G625" s="3">
        <v>86.9</v>
      </c>
    </row>
    <row r="626">
      <c r="A626" s="2">
        <v>41275.0</v>
      </c>
      <c r="B626" s="3">
        <v>2013.0</v>
      </c>
      <c r="C626" s="3">
        <v>1.0</v>
      </c>
      <c r="D626" s="3" t="s">
        <v>10</v>
      </c>
      <c r="E626" s="3">
        <v>19.96</v>
      </c>
      <c r="F626" s="3">
        <v>24.86</v>
      </c>
      <c r="G626" s="3">
        <v>80.3</v>
      </c>
    </row>
    <row r="627">
      <c r="A627" s="2">
        <v>41306.0</v>
      </c>
      <c r="B627" s="3">
        <v>2013.0</v>
      </c>
      <c r="C627" s="3">
        <v>2.0</v>
      </c>
      <c r="D627" s="3" t="s">
        <v>10</v>
      </c>
      <c r="E627" s="3">
        <v>19.21</v>
      </c>
      <c r="F627" s="3">
        <v>23.91</v>
      </c>
      <c r="G627" s="3">
        <v>80.3</v>
      </c>
    </row>
    <row r="628">
      <c r="A628" s="2">
        <v>41334.0</v>
      </c>
      <c r="B628" s="3">
        <v>2013.0</v>
      </c>
      <c r="C628" s="3">
        <v>3.0</v>
      </c>
      <c r="D628" s="3" t="s">
        <v>10</v>
      </c>
      <c r="E628" s="3">
        <v>18.42</v>
      </c>
      <c r="F628" s="3">
        <v>21.92</v>
      </c>
      <c r="G628" s="3">
        <v>84.0</v>
      </c>
    </row>
    <row r="629">
      <c r="A629" s="2">
        <v>41365.0</v>
      </c>
      <c r="B629" s="3">
        <v>2013.0</v>
      </c>
      <c r="C629" s="3">
        <v>4.0</v>
      </c>
      <c r="D629" s="3" t="s">
        <v>10</v>
      </c>
      <c r="E629" s="3">
        <v>21.55</v>
      </c>
      <c r="F629" s="3">
        <v>25.63</v>
      </c>
      <c r="G629" s="3">
        <v>84.1</v>
      </c>
    </row>
    <row r="630">
      <c r="A630" s="2">
        <v>41395.0</v>
      </c>
      <c r="B630" s="3">
        <v>2013.0</v>
      </c>
      <c r="C630" s="3">
        <v>5.0</v>
      </c>
      <c r="D630" s="3" t="s">
        <v>10</v>
      </c>
      <c r="E630" s="3">
        <v>22.35</v>
      </c>
      <c r="F630" s="3">
        <v>27.37</v>
      </c>
      <c r="G630" s="3">
        <v>81.7</v>
      </c>
    </row>
    <row r="631">
      <c r="A631" s="2">
        <v>41426.0</v>
      </c>
      <c r="B631" s="3">
        <v>2013.0</v>
      </c>
      <c r="C631" s="3">
        <v>6.0</v>
      </c>
      <c r="D631" s="3" t="s">
        <v>10</v>
      </c>
      <c r="E631" s="3">
        <v>25.1</v>
      </c>
      <c r="F631" s="3">
        <v>30.33</v>
      </c>
      <c r="G631" s="3">
        <v>82.8</v>
      </c>
    </row>
    <row r="632">
      <c r="A632" s="2">
        <v>41456.0</v>
      </c>
      <c r="B632" s="3">
        <v>2013.0</v>
      </c>
      <c r="C632" s="3">
        <v>7.0</v>
      </c>
      <c r="D632" s="3" t="s">
        <v>10</v>
      </c>
      <c r="E632" s="3">
        <v>25.68</v>
      </c>
      <c r="F632" s="3">
        <v>32.61</v>
      </c>
      <c r="G632" s="3">
        <v>78.8</v>
      </c>
    </row>
    <row r="633">
      <c r="A633" s="2">
        <v>41487.0</v>
      </c>
      <c r="B633" s="3">
        <v>2013.0</v>
      </c>
      <c r="C633" s="3">
        <v>8.0</v>
      </c>
      <c r="D633" s="3" t="s">
        <v>10</v>
      </c>
      <c r="E633" s="3">
        <v>26.73</v>
      </c>
      <c r="F633" s="3">
        <v>31.77</v>
      </c>
      <c r="G633" s="3">
        <v>84.2</v>
      </c>
    </row>
    <row r="634">
      <c r="A634" s="2">
        <v>41518.0</v>
      </c>
      <c r="B634" s="3">
        <v>2013.0</v>
      </c>
      <c r="C634" s="3">
        <v>9.0</v>
      </c>
      <c r="D634" s="3" t="s">
        <v>10</v>
      </c>
      <c r="E634" s="3">
        <v>25.43</v>
      </c>
      <c r="F634" s="3">
        <v>30.54</v>
      </c>
      <c r="G634" s="3">
        <v>83.3</v>
      </c>
    </row>
    <row r="635">
      <c r="A635" s="4">
        <v>41548.0</v>
      </c>
      <c r="B635" s="3">
        <v>2013.0</v>
      </c>
      <c r="C635" s="3">
        <v>10.0</v>
      </c>
      <c r="D635" s="3" t="s">
        <v>10</v>
      </c>
      <c r="E635" s="3">
        <v>25.52</v>
      </c>
      <c r="F635" s="3">
        <v>30.56</v>
      </c>
      <c r="G635" s="3">
        <v>83.5</v>
      </c>
    </row>
    <row r="636">
      <c r="A636" s="4">
        <v>41579.0</v>
      </c>
      <c r="B636" s="3">
        <v>2013.0</v>
      </c>
      <c r="C636" s="3">
        <v>11.0</v>
      </c>
      <c r="D636" s="3" t="s">
        <v>10</v>
      </c>
      <c r="E636" s="3">
        <v>24.29</v>
      </c>
      <c r="F636" s="3">
        <v>30.14</v>
      </c>
      <c r="G636" s="3">
        <v>80.6</v>
      </c>
    </row>
    <row r="637">
      <c r="A637" s="4">
        <v>41609.0</v>
      </c>
      <c r="B637" s="3">
        <v>2013.0</v>
      </c>
      <c r="C637" s="3">
        <v>12.0</v>
      </c>
      <c r="D637" s="3" t="s">
        <v>10</v>
      </c>
      <c r="E637" s="3">
        <v>21.0</v>
      </c>
      <c r="F637" s="3">
        <v>25.95</v>
      </c>
      <c r="G637" s="3">
        <v>80.9</v>
      </c>
    </row>
    <row r="638">
      <c r="A638" s="2">
        <v>41640.0</v>
      </c>
      <c r="B638" s="3">
        <v>2014.0</v>
      </c>
      <c r="C638" s="3">
        <v>1.0</v>
      </c>
      <c r="D638" s="3" t="s">
        <v>10</v>
      </c>
      <c r="E638" s="3">
        <v>21.45</v>
      </c>
      <c r="F638" s="3">
        <v>26.51</v>
      </c>
      <c r="G638" s="3">
        <v>80.9</v>
      </c>
    </row>
    <row r="639">
      <c r="A639" s="2">
        <v>41671.0</v>
      </c>
      <c r="B639" s="3">
        <v>2014.0</v>
      </c>
      <c r="C639" s="3">
        <v>2.0</v>
      </c>
      <c r="D639" s="3" t="s">
        <v>10</v>
      </c>
      <c r="E639" s="3">
        <v>20.12</v>
      </c>
      <c r="F639" s="3">
        <v>25.68</v>
      </c>
      <c r="G639" s="3">
        <v>78.4</v>
      </c>
    </row>
    <row r="640">
      <c r="A640" s="2">
        <v>41699.0</v>
      </c>
      <c r="B640" s="3">
        <v>2014.0</v>
      </c>
      <c r="C640" s="3">
        <v>3.0</v>
      </c>
      <c r="D640" s="3" t="s">
        <v>10</v>
      </c>
      <c r="E640" s="3">
        <v>22.32</v>
      </c>
      <c r="F640" s="3">
        <v>26.68</v>
      </c>
      <c r="G640" s="3">
        <v>83.7</v>
      </c>
    </row>
    <row r="641">
      <c r="A641" s="2">
        <v>41730.0</v>
      </c>
      <c r="B641" s="3">
        <v>2014.0</v>
      </c>
      <c r="C641" s="3">
        <v>4.0</v>
      </c>
      <c r="D641" s="3" t="s">
        <v>10</v>
      </c>
      <c r="E641" s="3">
        <v>23.19</v>
      </c>
      <c r="F641" s="3">
        <v>27.63</v>
      </c>
      <c r="G641" s="3">
        <v>83.9</v>
      </c>
    </row>
    <row r="642">
      <c r="A642" s="2">
        <v>41760.0</v>
      </c>
      <c r="B642" s="3">
        <v>2014.0</v>
      </c>
      <c r="C642" s="3">
        <v>5.0</v>
      </c>
      <c r="D642" s="3" t="s">
        <v>10</v>
      </c>
      <c r="E642" s="3">
        <v>25.1</v>
      </c>
      <c r="F642" s="3">
        <v>30.79</v>
      </c>
      <c r="G642" s="3">
        <v>81.5</v>
      </c>
    </row>
    <row r="643">
      <c r="A643" s="2">
        <v>41791.0</v>
      </c>
      <c r="B643" s="3">
        <v>2014.0</v>
      </c>
      <c r="C643" s="3">
        <v>6.0</v>
      </c>
      <c r="D643" s="3" t="s">
        <v>10</v>
      </c>
      <c r="E643" s="3">
        <v>26.57</v>
      </c>
      <c r="F643" s="3">
        <v>32.74</v>
      </c>
      <c r="G643" s="3">
        <v>81.1</v>
      </c>
    </row>
    <row r="644">
      <c r="A644" s="2">
        <v>41821.0</v>
      </c>
      <c r="B644" s="3">
        <v>2014.0</v>
      </c>
      <c r="C644" s="3">
        <v>7.0</v>
      </c>
      <c r="D644" s="3" t="s">
        <v>10</v>
      </c>
      <c r="E644" s="3">
        <v>30.57</v>
      </c>
      <c r="F644" s="3">
        <v>36.78</v>
      </c>
      <c r="G644" s="3">
        <v>83.1</v>
      </c>
    </row>
    <row r="645">
      <c r="A645" s="2">
        <v>41852.0</v>
      </c>
      <c r="B645" s="3">
        <v>2014.0</v>
      </c>
      <c r="C645" s="3">
        <v>8.0</v>
      </c>
      <c r="D645" s="3" t="s">
        <v>10</v>
      </c>
      <c r="E645" s="3">
        <v>28.54</v>
      </c>
      <c r="F645" s="3">
        <v>34.42</v>
      </c>
      <c r="G645" s="3">
        <v>82.9</v>
      </c>
    </row>
    <row r="646">
      <c r="A646" s="2">
        <v>41883.0</v>
      </c>
      <c r="B646" s="3">
        <v>2014.0</v>
      </c>
      <c r="C646" s="3">
        <v>9.0</v>
      </c>
      <c r="D646" s="3" t="s">
        <v>10</v>
      </c>
      <c r="E646" s="3">
        <v>27.77</v>
      </c>
      <c r="F646" s="3">
        <v>32.67</v>
      </c>
      <c r="G646" s="3">
        <v>85.0</v>
      </c>
    </row>
    <row r="647">
      <c r="A647" s="4">
        <v>41913.0</v>
      </c>
      <c r="B647" s="3">
        <v>2014.0</v>
      </c>
      <c r="C647" s="3">
        <v>10.0</v>
      </c>
      <c r="D647" s="3" t="s">
        <v>10</v>
      </c>
      <c r="E647" s="3">
        <v>26.87</v>
      </c>
      <c r="F647" s="3">
        <v>32.38</v>
      </c>
      <c r="G647" s="3">
        <v>83.0</v>
      </c>
    </row>
    <row r="648">
      <c r="A648" s="4">
        <v>41944.0</v>
      </c>
      <c r="B648" s="3">
        <v>2014.0</v>
      </c>
      <c r="C648" s="3">
        <v>11.0</v>
      </c>
      <c r="D648" s="3" t="s">
        <v>10</v>
      </c>
      <c r="E648" s="3">
        <v>26.5</v>
      </c>
      <c r="F648" s="3">
        <v>32.02</v>
      </c>
      <c r="G648" s="3">
        <v>82.8</v>
      </c>
    </row>
    <row r="649">
      <c r="A649" s="4">
        <v>41974.0</v>
      </c>
      <c r="B649" s="3">
        <v>2014.0</v>
      </c>
      <c r="C649" s="3">
        <v>12.0</v>
      </c>
      <c r="D649" s="3" t="s">
        <v>10</v>
      </c>
      <c r="E649" s="3">
        <v>23.96</v>
      </c>
      <c r="F649" s="3">
        <v>29.22</v>
      </c>
      <c r="G649" s="3">
        <v>82.0</v>
      </c>
    </row>
    <row r="650">
      <c r="A650" s="2">
        <v>42005.0</v>
      </c>
      <c r="B650" s="3">
        <v>2015.0</v>
      </c>
      <c r="C650" s="3">
        <v>1.0</v>
      </c>
      <c r="D650" s="3" t="s">
        <v>10</v>
      </c>
      <c r="E650" s="3">
        <v>22.58</v>
      </c>
      <c r="F650" s="3">
        <v>27.93</v>
      </c>
      <c r="G650" s="3">
        <v>80.8</v>
      </c>
    </row>
    <row r="651">
      <c r="A651" s="2">
        <v>42036.0</v>
      </c>
      <c r="B651" s="3">
        <v>2015.0</v>
      </c>
      <c r="C651" s="3">
        <v>2.0</v>
      </c>
      <c r="D651" s="3" t="s">
        <v>10</v>
      </c>
      <c r="E651" s="3">
        <v>21.91</v>
      </c>
      <c r="F651" s="3">
        <v>25.79</v>
      </c>
      <c r="G651" s="3">
        <v>85.0</v>
      </c>
    </row>
    <row r="652">
      <c r="A652" s="2">
        <v>42064.0</v>
      </c>
      <c r="B652" s="3">
        <v>2015.0</v>
      </c>
      <c r="C652" s="3">
        <v>3.0</v>
      </c>
      <c r="D652" s="3" t="s">
        <v>10</v>
      </c>
      <c r="E652" s="3">
        <v>22.77</v>
      </c>
      <c r="F652" s="3">
        <v>28.31</v>
      </c>
      <c r="G652" s="3">
        <v>80.4</v>
      </c>
    </row>
    <row r="653">
      <c r="A653" s="2">
        <v>42095.0</v>
      </c>
      <c r="B653" s="3">
        <v>2015.0</v>
      </c>
      <c r="C653" s="3">
        <v>4.0</v>
      </c>
      <c r="D653" s="3" t="s">
        <v>10</v>
      </c>
      <c r="E653" s="3">
        <v>24.02</v>
      </c>
      <c r="F653" s="3">
        <v>28.53</v>
      </c>
      <c r="G653" s="3">
        <v>84.2</v>
      </c>
    </row>
    <row r="654">
      <c r="A654" s="2">
        <v>42125.0</v>
      </c>
      <c r="B654" s="3">
        <v>2015.0</v>
      </c>
      <c r="C654" s="3">
        <v>5.0</v>
      </c>
      <c r="D654" s="3" t="s">
        <v>10</v>
      </c>
      <c r="E654" s="3">
        <v>27.04</v>
      </c>
      <c r="F654" s="3">
        <v>32.53</v>
      </c>
      <c r="G654" s="3">
        <v>83.1</v>
      </c>
    </row>
    <row r="655">
      <c r="A655" s="2">
        <v>42156.0</v>
      </c>
      <c r="B655" s="3">
        <v>2015.0</v>
      </c>
      <c r="C655" s="3">
        <v>6.0</v>
      </c>
      <c r="D655" s="3" t="s">
        <v>10</v>
      </c>
      <c r="E655" s="3">
        <v>28.4</v>
      </c>
      <c r="F655" s="3">
        <v>34.16</v>
      </c>
      <c r="G655" s="3">
        <v>83.1</v>
      </c>
    </row>
    <row r="656">
      <c r="A656" s="2">
        <v>42186.0</v>
      </c>
      <c r="B656" s="3">
        <v>2015.0</v>
      </c>
      <c r="C656" s="3">
        <v>7.0</v>
      </c>
      <c r="D656" s="3" t="s">
        <v>10</v>
      </c>
      <c r="E656" s="3">
        <v>29.65</v>
      </c>
      <c r="F656" s="3">
        <v>36.39</v>
      </c>
      <c r="G656" s="3">
        <v>81.5</v>
      </c>
    </row>
    <row r="657">
      <c r="A657" s="2">
        <v>42217.0</v>
      </c>
      <c r="B657" s="3">
        <v>2015.0</v>
      </c>
      <c r="C657" s="3">
        <v>8.0</v>
      </c>
      <c r="D657" s="3" t="s">
        <v>10</v>
      </c>
      <c r="E657" s="3">
        <v>31.82</v>
      </c>
      <c r="F657" s="3">
        <v>37.99</v>
      </c>
      <c r="G657" s="3">
        <v>83.7</v>
      </c>
    </row>
    <row r="658">
      <c r="A658" s="2">
        <v>42248.0</v>
      </c>
      <c r="B658" s="3">
        <v>2015.0</v>
      </c>
      <c r="C658" s="3">
        <v>9.0</v>
      </c>
      <c r="D658" s="3" t="s">
        <v>10</v>
      </c>
      <c r="E658" s="3">
        <v>29.62</v>
      </c>
      <c r="F658" s="3">
        <v>36.89</v>
      </c>
      <c r="G658" s="3">
        <v>80.3</v>
      </c>
    </row>
    <row r="659">
      <c r="A659" s="4">
        <v>42278.0</v>
      </c>
      <c r="B659" s="3">
        <v>2015.0</v>
      </c>
      <c r="C659" s="3">
        <v>10.0</v>
      </c>
      <c r="D659" s="3" t="s">
        <v>10</v>
      </c>
      <c r="E659" s="3">
        <v>29.25</v>
      </c>
      <c r="F659" s="3">
        <v>34.24</v>
      </c>
      <c r="G659" s="3">
        <v>85.5</v>
      </c>
    </row>
    <row r="660">
      <c r="A660" s="4">
        <v>42309.0</v>
      </c>
      <c r="B660" s="3">
        <v>2015.0</v>
      </c>
      <c r="C660" s="3">
        <v>11.0</v>
      </c>
      <c r="D660" s="3" t="s">
        <v>10</v>
      </c>
      <c r="E660" s="3">
        <v>25.73</v>
      </c>
      <c r="F660" s="3">
        <v>31.16</v>
      </c>
      <c r="G660" s="3">
        <v>82.6</v>
      </c>
    </row>
    <row r="661">
      <c r="A661" s="4">
        <v>42339.0</v>
      </c>
      <c r="B661" s="3">
        <v>2015.0</v>
      </c>
      <c r="C661" s="3">
        <v>12.0</v>
      </c>
      <c r="D661" s="3" t="s">
        <v>10</v>
      </c>
      <c r="E661" s="3">
        <v>24.3</v>
      </c>
      <c r="F661" s="3">
        <v>30.1</v>
      </c>
      <c r="G661" s="3">
        <v>80.7</v>
      </c>
    </row>
    <row r="662">
      <c r="A662" s="2">
        <v>42370.0</v>
      </c>
      <c r="B662" s="3">
        <v>2016.0</v>
      </c>
      <c r="C662" s="3">
        <v>1.0</v>
      </c>
      <c r="D662" s="3" t="s">
        <v>10</v>
      </c>
      <c r="E662" s="3">
        <v>23.67</v>
      </c>
      <c r="F662" s="3">
        <v>29.16</v>
      </c>
      <c r="G662" s="3">
        <v>81.2</v>
      </c>
    </row>
    <row r="663">
      <c r="A663" s="2">
        <v>42401.0</v>
      </c>
      <c r="B663" s="3">
        <v>2016.0</v>
      </c>
      <c r="C663" s="3">
        <v>2.0</v>
      </c>
      <c r="D663" s="3" t="s">
        <v>10</v>
      </c>
      <c r="E663" s="3">
        <v>23.11</v>
      </c>
      <c r="F663" s="3">
        <v>28.18</v>
      </c>
      <c r="G663" s="3">
        <v>82.0</v>
      </c>
    </row>
    <row r="664">
      <c r="A664" s="2">
        <v>42430.0</v>
      </c>
      <c r="B664" s="3">
        <v>2016.0</v>
      </c>
      <c r="C664" s="3">
        <v>3.0</v>
      </c>
      <c r="D664" s="3" t="s">
        <v>10</v>
      </c>
      <c r="E664" s="3">
        <v>23.76</v>
      </c>
      <c r="F664" s="3">
        <v>30.05</v>
      </c>
      <c r="G664" s="3">
        <v>79.1</v>
      </c>
    </row>
    <row r="665">
      <c r="A665" s="2">
        <v>42461.0</v>
      </c>
      <c r="B665" s="3">
        <v>2016.0</v>
      </c>
      <c r="C665" s="3">
        <v>4.0</v>
      </c>
      <c r="D665" s="3" t="s">
        <v>10</v>
      </c>
      <c r="E665" s="3">
        <v>26.39</v>
      </c>
      <c r="F665" s="3">
        <v>31.61</v>
      </c>
      <c r="G665" s="3">
        <v>83.5</v>
      </c>
    </row>
    <row r="666">
      <c r="A666" s="2">
        <v>42491.0</v>
      </c>
      <c r="B666" s="3">
        <v>2016.0</v>
      </c>
      <c r="C666" s="3">
        <v>5.0</v>
      </c>
      <c r="D666" s="3" t="s">
        <v>10</v>
      </c>
      <c r="E666" s="3">
        <v>28.72</v>
      </c>
      <c r="F666" s="3">
        <v>36.39</v>
      </c>
      <c r="G666" s="3">
        <v>78.9</v>
      </c>
    </row>
    <row r="667">
      <c r="A667" s="2">
        <v>42522.0</v>
      </c>
      <c r="B667" s="3">
        <v>2016.0</v>
      </c>
      <c r="C667" s="3">
        <v>6.0</v>
      </c>
      <c r="D667" s="3" t="s">
        <v>10</v>
      </c>
      <c r="E667" s="3">
        <v>30.51</v>
      </c>
      <c r="F667" s="3">
        <v>36.6</v>
      </c>
      <c r="G667" s="3">
        <v>83.4</v>
      </c>
    </row>
    <row r="668">
      <c r="A668" s="2">
        <v>42552.0</v>
      </c>
      <c r="B668" s="3">
        <v>2016.0</v>
      </c>
      <c r="C668" s="3">
        <v>7.0</v>
      </c>
      <c r="D668" s="3" t="s">
        <v>10</v>
      </c>
      <c r="E668" s="3">
        <v>30.95</v>
      </c>
      <c r="F668" s="3">
        <v>37.73</v>
      </c>
      <c r="G668" s="3">
        <v>82.0</v>
      </c>
    </row>
    <row r="669">
      <c r="A669" s="2">
        <v>42583.0</v>
      </c>
      <c r="B669" s="3">
        <v>2016.0</v>
      </c>
      <c r="C669" s="3">
        <v>8.0</v>
      </c>
      <c r="D669" s="3" t="s">
        <v>10</v>
      </c>
      <c r="E669" s="3">
        <v>32.52</v>
      </c>
      <c r="F669" s="3">
        <v>37.95</v>
      </c>
      <c r="G669" s="3">
        <v>85.7</v>
      </c>
    </row>
    <row r="670">
      <c r="A670" s="2">
        <v>42614.0</v>
      </c>
      <c r="B670" s="3">
        <v>2016.0</v>
      </c>
      <c r="C670" s="3">
        <v>9.0</v>
      </c>
      <c r="D670" s="3" t="s">
        <v>10</v>
      </c>
      <c r="E670" s="3">
        <v>34.12</v>
      </c>
      <c r="F670" s="3">
        <v>43.37</v>
      </c>
      <c r="G670" s="3">
        <v>78.7</v>
      </c>
    </row>
    <row r="671">
      <c r="A671" s="4">
        <v>42644.0</v>
      </c>
      <c r="B671" s="3">
        <v>2016.0</v>
      </c>
      <c r="C671" s="3">
        <v>10.0</v>
      </c>
      <c r="D671" s="3" t="s">
        <v>10</v>
      </c>
      <c r="E671" s="3">
        <v>33.16</v>
      </c>
      <c r="F671" s="3">
        <v>41.37</v>
      </c>
      <c r="G671" s="3">
        <v>80.2</v>
      </c>
    </row>
    <row r="672">
      <c r="A672" s="4">
        <v>42675.0</v>
      </c>
      <c r="B672" s="3">
        <v>2016.0</v>
      </c>
      <c r="C672" s="3">
        <v>11.0</v>
      </c>
      <c r="D672" s="3" t="s">
        <v>10</v>
      </c>
      <c r="E672" s="3">
        <v>29.61</v>
      </c>
      <c r="F672" s="3">
        <v>35.27</v>
      </c>
      <c r="G672" s="3">
        <v>83.9</v>
      </c>
    </row>
    <row r="673">
      <c r="A673" s="4">
        <v>42705.0</v>
      </c>
      <c r="B673" s="3">
        <v>2016.0</v>
      </c>
      <c r="C673" s="3">
        <v>12.0</v>
      </c>
      <c r="D673" s="3" t="s">
        <v>10</v>
      </c>
      <c r="E673" s="3">
        <v>25.92</v>
      </c>
      <c r="F673" s="3">
        <v>31.24</v>
      </c>
      <c r="G673" s="3">
        <v>83.0</v>
      </c>
    </row>
    <row r="674">
      <c r="A674" s="2">
        <v>42736.0</v>
      </c>
      <c r="B674" s="3">
        <v>2017.0</v>
      </c>
      <c r="C674" s="3">
        <v>1.0</v>
      </c>
      <c r="D674" s="3" t="s">
        <v>10</v>
      </c>
      <c r="E674" s="3">
        <v>25.15</v>
      </c>
      <c r="F674" s="3">
        <v>30.26</v>
      </c>
      <c r="G674" s="3">
        <v>83.1</v>
      </c>
    </row>
    <row r="675">
      <c r="A675" s="2">
        <v>42767.0</v>
      </c>
      <c r="B675" s="3">
        <v>2017.0</v>
      </c>
      <c r="C675" s="3">
        <v>2.0</v>
      </c>
      <c r="D675" s="3" t="s">
        <v>10</v>
      </c>
      <c r="E675" s="3">
        <v>24.93</v>
      </c>
      <c r="F675" s="3">
        <v>29.54</v>
      </c>
      <c r="G675" s="3">
        <v>84.4</v>
      </c>
    </row>
    <row r="676">
      <c r="A676" s="2">
        <v>42795.0</v>
      </c>
      <c r="B676" s="3">
        <v>2017.0</v>
      </c>
      <c r="C676" s="3">
        <v>3.0</v>
      </c>
      <c r="D676" s="3" t="s">
        <v>10</v>
      </c>
      <c r="E676" s="3">
        <v>25.51</v>
      </c>
      <c r="F676" s="3">
        <v>31.24</v>
      </c>
      <c r="G676" s="3">
        <v>81.7</v>
      </c>
    </row>
    <row r="677">
      <c r="A677" s="2">
        <v>42826.0</v>
      </c>
      <c r="B677" s="3">
        <v>2017.0</v>
      </c>
      <c r="C677" s="3">
        <v>4.0</v>
      </c>
      <c r="D677" s="3" t="s">
        <v>10</v>
      </c>
      <c r="E677" s="3">
        <v>28.08</v>
      </c>
      <c r="F677" s="3">
        <v>33.77</v>
      </c>
      <c r="G677" s="3">
        <v>83.2</v>
      </c>
    </row>
    <row r="678">
      <c r="A678" s="2">
        <v>42856.0</v>
      </c>
      <c r="B678" s="3">
        <v>2017.0</v>
      </c>
      <c r="C678" s="3">
        <v>5.0</v>
      </c>
      <c r="D678" s="3" t="s">
        <v>10</v>
      </c>
      <c r="E678" s="3">
        <v>30.15</v>
      </c>
      <c r="F678" s="3">
        <v>37.38</v>
      </c>
      <c r="G678" s="3">
        <v>80.7</v>
      </c>
    </row>
    <row r="679">
      <c r="A679" s="2">
        <v>42887.0</v>
      </c>
      <c r="B679" s="3">
        <v>2017.0</v>
      </c>
      <c r="C679" s="3">
        <v>6.0</v>
      </c>
      <c r="D679" s="3" t="s">
        <v>10</v>
      </c>
      <c r="E679" s="3">
        <v>30.86</v>
      </c>
      <c r="F679" s="3">
        <v>38.17</v>
      </c>
      <c r="G679" s="3">
        <v>80.9</v>
      </c>
    </row>
    <row r="680">
      <c r="A680" s="2">
        <v>42917.0</v>
      </c>
      <c r="B680" s="3">
        <v>2017.0</v>
      </c>
      <c r="C680" s="3">
        <v>7.0</v>
      </c>
      <c r="D680" s="3" t="s">
        <v>10</v>
      </c>
      <c r="E680" s="3">
        <v>32.99</v>
      </c>
      <c r="F680" s="3">
        <v>39.48</v>
      </c>
      <c r="G680" s="3">
        <v>83.6</v>
      </c>
    </row>
    <row r="681">
      <c r="A681" s="2">
        <v>42948.0</v>
      </c>
      <c r="B681" s="3">
        <v>2017.0</v>
      </c>
      <c r="C681" s="3">
        <v>8.0</v>
      </c>
      <c r="D681" s="3" t="s">
        <v>10</v>
      </c>
      <c r="E681" s="3">
        <v>35.38</v>
      </c>
      <c r="F681" s="3">
        <v>43.31</v>
      </c>
      <c r="G681" s="3">
        <v>81.7</v>
      </c>
    </row>
    <row r="682">
      <c r="A682" s="2">
        <v>42979.0</v>
      </c>
      <c r="B682" s="3">
        <v>2017.0</v>
      </c>
      <c r="C682" s="3">
        <v>9.0</v>
      </c>
      <c r="D682" s="3" t="s">
        <v>10</v>
      </c>
      <c r="E682" s="3">
        <v>35.38</v>
      </c>
      <c r="F682" s="3">
        <v>41.76</v>
      </c>
      <c r="G682" s="3">
        <v>84.7</v>
      </c>
    </row>
    <row r="683">
      <c r="A683" s="4">
        <v>43009.0</v>
      </c>
      <c r="B683" s="3">
        <v>2017.0</v>
      </c>
      <c r="C683" s="3">
        <v>10.0</v>
      </c>
      <c r="D683" s="3" t="s">
        <v>10</v>
      </c>
      <c r="E683" s="3">
        <v>32.62</v>
      </c>
      <c r="F683" s="3">
        <v>40.6</v>
      </c>
      <c r="G683" s="3">
        <v>80.4</v>
      </c>
    </row>
    <row r="684">
      <c r="A684" s="4">
        <v>43040.0</v>
      </c>
      <c r="B684" s="3">
        <v>2017.0</v>
      </c>
      <c r="C684" s="3">
        <v>11.0</v>
      </c>
      <c r="D684" s="3" t="s">
        <v>10</v>
      </c>
      <c r="E684" s="3">
        <v>31.71</v>
      </c>
      <c r="F684" s="3">
        <v>38.73</v>
      </c>
      <c r="G684" s="3">
        <v>81.9</v>
      </c>
    </row>
    <row r="685">
      <c r="A685" s="4">
        <v>43070.0</v>
      </c>
      <c r="B685" s="3">
        <v>2017.0</v>
      </c>
      <c r="C685" s="3">
        <v>12.0</v>
      </c>
      <c r="D685" s="3" t="s">
        <v>10</v>
      </c>
      <c r="E685" s="3">
        <v>28.2</v>
      </c>
      <c r="F685" s="3">
        <v>34.68</v>
      </c>
      <c r="G685" s="3">
        <v>81.3</v>
      </c>
    </row>
    <row r="686">
      <c r="A686" s="2">
        <v>43101.0</v>
      </c>
      <c r="B686" s="3">
        <v>2018.0</v>
      </c>
      <c r="C686" s="3">
        <v>1.0</v>
      </c>
      <c r="D686" s="3" t="s">
        <v>10</v>
      </c>
      <c r="E686" s="3">
        <v>25.84</v>
      </c>
      <c r="F686" s="3">
        <v>32.68</v>
      </c>
      <c r="G686" s="3">
        <v>79.1</v>
      </c>
    </row>
    <row r="687">
      <c r="A687" s="2">
        <v>43132.0</v>
      </c>
      <c r="B687" s="3">
        <v>2018.0</v>
      </c>
      <c r="C687" s="3">
        <v>2.0</v>
      </c>
      <c r="D687" s="3" t="s">
        <v>10</v>
      </c>
      <c r="E687" s="3">
        <v>26.53</v>
      </c>
      <c r="F687" s="3">
        <v>32.98</v>
      </c>
      <c r="G687" s="3">
        <v>80.4</v>
      </c>
    </row>
    <row r="688">
      <c r="A688" s="2">
        <v>43160.0</v>
      </c>
      <c r="B688" s="3">
        <v>2018.0</v>
      </c>
      <c r="C688" s="3">
        <v>3.0</v>
      </c>
      <c r="D688" s="3" t="s">
        <v>10</v>
      </c>
      <c r="E688" s="3">
        <v>29.33</v>
      </c>
      <c r="F688" s="3">
        <v>36.74</v>
      </c>
      <c r="G688" s="3">
        <v>79.8</v>
      </c>
    </row>
    <row r="689">
      <c r="A689" s="2">
        <v>43191.0</v>
      </c>
      <c r="B689" s="3">
        <v>2018.0</v>
      </c>
      <c r="C689" s="3">
        <v>4.0</v>
      </c>
      <c r="D689" s="3" t="s">
        <v>10</v>
      </c>
      <c r="E689" s="3">
        <v>27.5</v>
      </c>
      <c r="F689" s="3">
        <v>33.13</v>
      </c>
      <c r="G689" s="3">
        <v>83.0</v>
      </c>
    </row>
    <row r="690">
      <c r="A690" s="2">
        <v>43221.0</v>
      </c>
      <c r="B690" s="3">
        <v>2018.0</v>
      </c>
      <c r="C690" s="3">
        <v>5.0</v>
      </c>
      <c r="D690" s="3" t="s">
        <v>10</v>
      </c>
      <c r="E690" s="3">
        <v>32.46</v>
      </c>
      <c r="F690" s="3">
        <v>39.52</v>
      </c>
      <c r="G690" s="3">
        <v>82.1</v>
      </c>
    </row>
    <row r="691">
      <c r="A691" s="2">
        <v>43252.0</v>
      </c>
      <c r="B691" s="3">
        <v>2018.0</v>
      </c>
      <c r="C691" s="3">
        <v>6.0</v>
      </c>
      <c r="D691" s="3" t="s">
        <v>10</v>
      </c>
      <c r="E691" s="3">
        <v>34.04</v>
      </c>
      <c r="F691" s="3">
        <v>43.47</v>
      </c>
      <c r="G691" s="3">
        <v>78.3</v>
      </c>
    </row>
    <row r="692">
      <c r="A692" s="2">
        <v>43282.0</v>
      </c>
      <c r="B692" s="3">
        <v>2018.0</v>
      </c>
      <c r="C692" s="3">
        <v>7.0</v>
      </c>
      <c r="D692" s="3" t="s">
        <v>10</v>
      </c>
      <c r="E692" s="3">
        <v>34.6</v>
      </c>
      <c r="F692" s="3">
        <v>43.33</v>
      </c>
      <c r="G692" s="3">
        <v>79.9</v>
      </c>
    </row>
    <row r="693">
      <c r="A693" s="2">
        <v>43313.0</v>
      </c>
      <c r="B693" s="3">
        <v>2018.0</v>
      </c>
      <c r="C693" s="3">
        <v>8.0</v>
      </c>
      <c r="D693" s="3" t="s">
        <v>10</v>
      </c>
      <c r="E693" s="3">
        <v>34.09</v>
      </c>
      <c r="F693" s="3">
        <v>41.45</v>
      </c>
      <c r="G693" s="3">
        <v>82.2</v>
      </c>
    </row>
    <row r="694">
      <c r="A694" s="2">
        <v>43344.0</v>
      </c>
      <c r="B694" s="3">
        <v>2018.0</v>
      </c>
      <c r="C694" s="3">
        <v>9.0</v>
      </c>
      <c r="D694" s="3" t="s">
        <v>10</v>
      </c>
      <c r="E694" s="3">
        <v>33.28</v>
      </c>
      <c r="F694" s="3">
        <v>41.93</v>
      </c>
      <c r="G694" s="3">
        <v>79.4</v>
      </c>
    </row>
    <row r="695">
      <c r="A695" s="4">
        <v>43374.0</v>
      </c>
      <c r="B695" s="3">
        <v>2018.0</v>
      </c>
      <c r="C695" s="3">
        <v>10.0</v>
      </c>
      <c r="D695" s="3" t="s">
        <v>10</v>
      </c>
      <c r="E695" s="3">
        <v>33.45</v>
      </c>
      <c r="F695" s="3">
        <v>41.64</v>
      </c>
      <c r="G695" s="3">
        <v>80.3</v>
      </c>
    </row>
    <row r="696">
      <c r="A696" s="4">
        <v>43405.0</v>
      </c>
      <c r="B696" s="3">
        <v>2018.0</v>
      </c>
      <c r="C696" s="3">
        <v>11.0</v>
      </c>
      <c r="D696" s="3" t="s">
        <v>10</v>
      </c>
      <c r="E696" s="3">
        <v>32.13</v>
      </c>
      <c r="F696" s="3">
        <v>38.89</v>
      </c>
      <c r="G696" s="3">
        <v>82.6</v>
      </c>
    </row>
    <row r="697">
      <c r="A697" s="4">
        <v>43435.0</v>
      </c>
      <c r="B697" s="3">
        <v>2018.0</v>
      </c>
      <c r="C697" s="3">
        <v>12.0</v>
      </c>
      <c r="D697" s="3" t="s">
        <v>10</v>
      </c>
      <c r="E697" s="3">
        <v>30.29</v>
      </c>
      <c r="F697" s="3">
        <v>36.27</v>
      </c>
      <c r="G697" s="3">
        <v>83.5</v>
      </c>
    </row>
    <row r="698">
      <c r="A698" s="2">
        <v>43466.0</v>
      </c>
      <c r="B698" s="3">
        <v>2019.0</v>
      </c>
      <c r="C698" s="3">
        <v>1.0</v>
      </c>
      <c r="D698" s="3" t="s">
        <v>10</v>
      </c>
      <c r="E698" s="3">
        <v>28.81</v>
      </c>
      <c r="F698" s="3">
        <v>35.14</v>
      </c>
      <c r="G698" s="3">
        <v>82.0</v>
      </c>
    </row>
    <row r="699">
      <c r="A699" s="2">
        <v>43497.0</v>
      </c>
      <c r="B699" s="3">
        <v>2019.0</v>
      </c>
      <c r="C699" s="3">
        <v>2.0</v>
      </c>
      <c r="D699" s="3" t="s">
        <v>10</v>
      </c>
      <c r="E699" s="3">
        <v>25.95</v>
      </c>
      <c r="F699" s="3">
        <v>31.25</v>
      </c>
      <c r="G699" s="3">
        <v>83.0</v>
      </c>
    </row>
    <row r="700">
      <c r="A700" s="2">
        <v>43525.0</v>
      </c>
      <c r="B700" s="3">
        <v>2019.0</v>
      </c>
      <c r="C700" s="3">
        <v>3.0</v>
      </c>
      <c r="D700" s="3" t="s">
        <v>10</v>
      </c>
      <c r="E700" s="3">
        <v>24.9</v>
      </c>
      <c r="F700" s="3">
        <v>30.67</v>
      </c>
      <c r="G700" s="3">
        <v>81.2</v>
      </c>
    </row>
    <row r="701">
      <c r="A701" s="2">
        <v>43556.0</v>
      </c>
      <c r="B701" s="3">
        <v>2019.0</v>
      </c>
      <c r="C701" s="3">
        <v>4.0</v>
      </c>
      <c r="D701" s="3" t="s">
        <v>10</v>
      </c>
      <c r="E701" s="3">
        <v>24.5</v>
      </c>
      <c r="F701" s="3">
        <v>30.48</v>
      </c>
      <c r="G701" s="3">
        <v>80.4</v>
      </c>
    </row>
    <row r="702">
      <c r="A702" s="2">
        <v>43586.0</v>
      </c>
      <c r="B702" s="3">
        <v>2019.0</v>
      </c>
      <c r="C702" s="3">
        <v>5.0</v>
      </c>
      <c r="D702" s="3" t="s">
        <v>10</v>
      </c>
      <c r="E702" s="3">
        <v>25.32</v>
      </c>
      <c r="F702" s="3">
        <v>30.95</v>
      </c>
      <c r="G702" s="3">
        <v>81.8</v>
      </c>
    </row>
    <row r="703">
      <c r="A703" s="2">
        <v>43617.0</v>
      </c>
      <c r="B703" s="3">
        <v>2019.0</v>
      </c>
      <c r="C703" s="3">
        <v>6.0</v>
      </c>
      <c r="D703" s="3" t="s">
        <v>10</v>
      </c>
      <c r="E703" s="3">
        <v>24.5</v>
      </c>
      <c r="F703" s="3">
        <v>30.37</v>
      </c>
      <c r="G703" s="3">
        <v>80.7</v>
      </c>
    </row>
    <row r="704">
      <c r="A704" s="2">
        <v>43647.0</v>
      </c>
      <c r="B704" s="3">
        <v>2019.0</v>
      </c>
      <c r="C704" s="3">
        <v>7.0</v>
      </c>
      <c r="D704" s="3" t="s">
        <v>10</v>
      </c>
      <c r="E704" s="3">
        <v>23.43</v>
      </c>
      <c r="F704" s="3">
        <v>27.9</v>
      </c>
      <c r="G704" s="3">
        <v>84.0</v>
      </c>
    </row>
    <row r="705">
      <c r="A705" s="2">
        <v>43678.0</v>
      </c>
      <c r="B705" s="3">
        <v>2019.0</v>
      </c>
      <c r="C705" s="3">
        <v>8.0</v>
      </c>
      <c r="D705" s="3" t="s">
        <v>10</v>
      </c>
      <c r="E705" s="3">
        <v>22.77</v>
      </c>
      <c r="F705" s="3">
        <v>28.36</v>
      </c>
      <c r="G705" s="3">
        <v>80.3</v>
      </c>
    </row>
    <row r="706">
      <c r="A706" s="2">
        <v>43709.0</v>
      </c>
      <c r="B706" s="3">
        <v>2019.0</v>
      </c>
      <c r="C706" s="3">
        <v>9.0</v>
      </c>
      <c r="D706" s="3" t="s">
        <v>10</v>
      </c>
      <c r="E706" s="3">
        <v>20.84</v>
      </c>
      <c r="F706" s="3">
        <v>25.76</v>
      </c>
      <c r="G706" s="3">
        <v>80.9</v>
      </c>
    </row>
    <row r="707">
      <c r="A707" s="4">
        <v>43739.0</v>
      </c>
      <c r="B707" s="3">
        <v>2019.0</v>
      </c>
      <c r="C707" s="3">
        <v>10.0</v>
      </c>
      <c r="D707" s="3" t="s">
        <v>10</v>
      </c>
      <c r="E707" s="3">
        <v>16.75</v>
      </c>
      <c r="F707" s="3">
        <v>19.93</v>
      </c>
      <c r="G707" s="3">
        <v>84.0</v>
      </c>
    </row>
    <row r="708">
      <c r="A708" s="4">
        <v>43770.0</v>
      </c>
      <c r="B708" s="3">
        <v>2019.0</v>
      </c>
      <c r="C708" s="3">
        <v>11.0</v>
      </c>
      <c r="D708" s="3" t="s">
        <v>10</v>
      </c>
      <c r="E708" s="3">
        <v>14.27</v>
      </c>
      <c r="F708" s="3">
        <v>17.58</v>
      </c>
      <c r="G708" s="3">
        <v>81.2</v>
      </c>
    </row>
    <row r="709">
      <c r="A709" s="4">
        <v>43800.0</v>
      </c>
      <c r="B709" s="3">
        <v>2019.0</v>
      </c>
      <c r="C709" s="3">
        <v>12.0</v>
      </c>
      <c r="D709" s="3" t="s">
        <v>10</v>
      </c>
      <c r="E709" s="3">
        <v>11.81</v>
      </c>
      <c r="F709" s="3">
        <v>14.01</v>
      </c>
      <c r="G709" s="3">
        <v>84.3</v>
      </c>
    </row>
    <row r="710">
      <c r="A710" s="2">
        <v>43831.0</v>
      </c>
      <c r="B710" s="3">
        <v>2020.0</v>
      </c>
      <c r="C710" s="3">
        <v>1.0</v>
      </c>
      <c r="D710" s="3" t="s">
        <v>10</v>
      </c>
      <c r="E710" s="3">
        <v>9.58</v>
      </c>
      <c r="F710" s="3">
        <v>12.03</v>
      </c>
      <c r="G710" s="3">
        <v>79.6</v>
      </c>
    </row>
    <row r="711">
      <c r="A711" s="2">
        <v>43862.0</v>
      </c>
      <c r="B711" s="3">
        <v>2020.0</v>
      </c>
      <c r="C711" s="3">
        <v>2.0</v>
      </c>
      <c r="D711" s="3" t="s">
        <v>10</v>
      </c>
      <c r="E711" s="3">
        <v>9.9</v>
      </c>
      <c r="F711" s="3">
        <v>12.22</v>
      </c>
      <c r="G711" s="3">
        <v>81.0</v>
      </c>
    </row>
    <row r="712">
      <c r="A712" s="2">
        <v>43891.0</v>
      </c>
      <c r="B712" s="3">
        <v>2020.0</v>
      </c>
      <c r="C712" s="3">
        <v>3.0</v>
      </c>
      <c r="D712" s="3" t="s">
        <v>10</v>
      </c>
      <c r="E712" s="3">
        <v>1.65</v>
      </c>
      <c r="F712" s="3">
        <v>2.99</v>
      </c>
      <c r="G712" s="3">
        <v>55.0</v>
      </c>
    </row>
    <row r="713">
      <c r="A713" s="2">
        <v>43922.0</v>
      </c>
      <c r="B713" s="3">
        <v>2020.0</v>
      </c>
      <c r="C713" s="3">
        <v>4.0</v>
      </c>
      <c r="D713" s="3" t="s">
        <v>10</v>
      </c>
      <c r="E713" s="3">
        <v>1.61</v>
      </c>
      <c r="F713" s="3">
        <v>2.92</v>
      </c>
      <c r="G713" s="3">
        <v>55.0</v>
      </c>
    </row>
    <row r="714">
      <c r="A714" s="2">
        <v>43952.0</v>
      </c>
      <c r="B714" s="3">
        <v>2020.0</v>
      </c>
      <c r="C714" s="3">
        <v>5.0</v>
      </c>
      <c r="D714" s="3" t="s">
        <v>10</v>
      </c>
      <c r="E714" s="3">
        <v>2.04</v>
      </c>
      <c r="F714" s="3">
        <v>3.71</v>
      </c>
      <c r="G714" s="3">
        <v>55.0</v>
      </c>
    </row>
    <row r="715">
      <c r="A715" s="2">
        <v>43983.0</v>
      </c>
      <c r="B715" s="3">
        <v>2020.0</v>
      </c>
      <c r="C715" s="3">
        <v>6.0</v>
      </c>
      <c r="D715" s="3" t="s">
        <v>10</v>
      </c>
      <c r="E715" s="3">
        <v>2.26</v>
      </c>
      <c r="F715" s="3">
        <v>4.12</v>
      </c>
      <c r="G715" s="3">
        <v>55.0</v>
      </c>
    </row>
    <row r="716">
      <c r="A716" s="2">
        <v>44013.0</v>
      </c>
      <c r="B716" s="3">
        <v>2020.0</v>
      </c>
      <c r="C716" s="3">
        <v>7.0</v>
      </c>
      <c r="D716" s="3" t="s">
        <v>10</v>
      </c>
      <c r="E716" s="3">
        <v>15.97</v>
      </c>
      <c r="F716" s="3">
        <v>29.03</v>
      </c>
      <c r="G716" s="3">
        <v>55.0</v>
      </c>
    </row>
    <row r="717">
      <c r="A717" s="2">
        <v>44044.0</v>
      </c>
      <c r="B717" s="3">
        <v>2020.0</v>
      </c>
      <c r="C717" s="3">
        <v>8.0</v>
      </c>
      <c r="D717" s="3" t="s">
        <v>10</v>
      </c>
      <c r="E717" s="3">
        <v>5.76</v>
      </c>
      <c r="F717" s="3">
        <v>10.47</v>
      </c>
      <c r="G717" s="3">
        <v>55.0</v>
      </c>
    </row>
    <row r="718">
      <c r="A718" s="2">
        <v>44075.0</v>
      </c>
      <c r="B718" s="3">
        <v>2020.0</v>
      </c>
      <c r="C718" s="3">
        <v>9.0</v>
      </c>
      <c r="D718" s="3" t="s">
        <v>10</v>
      </c>
      <c r="E718" s="3">
        <v>5.69</v>
      </c>
      <c r="F718" s="3">
        <v>10.34</v>
      </c>
      <c r="G718" s="3">
        <v>55.0</v>
      </c>
    </row>
    <row r="719">
      <c r="A719" s="4">
        <v>44105.0</v>
      </c>
      <c r="B719" s="3">
        <v>2020.0</v>
      </c>
      <c r="C719" s="3">
        <v>10.0</v>
      </c>
      <c r="D719" s="3" t="s">
        <v>10</v>
      </c>
      <c r="E719" s="3">
        <v>5.85</v>
      </c>
      <c r="F719" s="3">
        <v>10.63</v>
      </c>
      <c r="G719" s="3">
        <v>55.0</v>
      </c>
    </row>
    <row r="720">
      <c r="A720" s="4">
        <v>44136.0</v>
      </c>
      <c r="B720" s="3">
        <v>2020.0</v>
      </c>
      <c r="C720" s="3">
        <v>11.0</v>
      </c>
      <c r="D720" s="3" t="s">
        <v>10</v>
      </c>
      <c r="E720" s="3">
        <v>5.5</v>
      </c>
      <c r="F720" s="3">
        <v>10.0</v>
      </c>
      <c r="G720" s="3">
        <v>55.0</v>
      </c>
    </row>
    <row r="721">
      <c r="A721" s="4">
        <v>44166.0</v>
      </c>
      <c r="B721" s="3">
        <v>2020.0</v>
      </c>
      <c r="C721" s="3">
        <v>12.0</v>
      </c>
      <c r="D721" s="3" t="s">
        <v>10</v>
      </c>
      <c r="E721" s="3">
        <v>5.15</v>
      </c>
      <c r="F721" s="3">
        <v>9.35</v>
      </c>
      <c r="G721" s="3">
        <v>55.0</v>
      </c>
    </row>
    <row r="722">
      <c r="A722" s="2">
        <v>44197.0</v>
      </c>
      <c r="B722" s="3">
        <v>2021.0</v>
      </c>
      <c r="C722" s="3">
        <v>1.0</v>
      </c>
      <c r="D722" s="3" t="s">
        <v>10</v>
      </c>
      <c r="E722" s="3">
        <v>14.74</v>
      </c>
      <c r="F722" s="3">
        <v>17.47</v>
      </c>
      <c r="G722" s="3">
        <v>84.4</v>
      </c>
    </row>
    <row r="723">
      <c r="A723" s="2">
        <v>44228.0</v>
      </c>
      <c r="B723" s="3">
        <v>2021.0</v>
      </c>
      <c r="C723" s="3">
        <v>2.0</v>
      </c>
      <c r="D723" s="3" t="s">
        <v>10</v>
      </c>
      <c r="E723" s="3">
        <v>6.7</v>
      </c>
      <c r="F723" s="3">
        <v>8.32</v>
      </c>
      <c r="G723" s="3">
        <v>80.5</v>
      </c>
    </row>
    <row r="724">
      <c r="A724" s="2">
        <v>44256.0</v>
      </c>
      <c r="B724" s="3">
        <v>2021.0</v>
      </c>
      <c r="C724" s="3">
        <v>3.0</v>
      </c>
      <c r="D724" s="3" t="s">
        <v>10</v>
      </c>
      <c r="E724" s="3">
        <v>6.28</v>
      </c>
      <c r="F724" s="3">
        <v>8.01</v>
      </c>
      <c r="G724" s="3">
        <v>78.5</v>
      </c>
    </row>
    <row r="725">
      <c r="A725" s="2">
        <v>44287.0</v>
      </c>
      <c r="B725" s="3">
        <v>2021.0</v>
      </c>
      <c r="C725" s="3">
        <v>4.0</v>
      </c>
      <c r="D725" s="3" t="s">
        <v>10</v>
      </c>
      <c r="E725" s="3">
        <v>7.76</v>
      </c>
      <c r="F725" s="3">
        <v>9.56</v>
      </c>
      <c r="G725" s="3">
        <v>81.2</v>
      </c>
    </row>
    <row r="726">
      <c r="A726" s="2">
        <v>44317.0</v>
      </c>
      <c r="B726" s="3">
        <v>2021.0</v>
      </c>
      <c r="C726" s="3">
        <v>5.0</v>
      </c>
      <c r="D726" s="3" t="s">
        <v>10</v>
      </c>
      <c r="E726" s="3">
        <v>8.07</v>
      </c>
      <c r="F726" s="3">
        <v>9.46</v>
      </c>
      <c r="G726" s="3">
        <v>85.3</v>
      </c>
    </row>
    <row r="727">
      <c r="A727" s="2">
        <v>44348.0</v>
      </c>
      <c r="B727" s="3">
        <v>2021.0</v>
      </c>
      <c r="C727" s="3">
        <v>6.0</v>
      </c>
      <c r="D727" s="3" t="s">
        <v>10</v>
      </c>
      <c r="E727" s="3">
        <v>9.44</v>
      </c>
      <c r="F727" s="3">
        <v>11.51</v>
      </c>
      <c r="G727" s="3">
        <v>82.0</v>
      </c>
    </row>
    <row r="728">
      <c r="A728" s="2">
        <v>44378.0</v>
      </c>
      <c r="B728" s="3">
        <v>2021.0</v>
      </c>
      <c r="C728" s="3">
        <v>7.0</v>
      </c>
      <c r="D728" s="3" t="s">
        <v>10</v>
      </c>
      <c r="E728" s="3">
        <v>21.56</v>
      </c>
      <c r="F728" s="3">
        <v>26.38</v>
      </c>
      <c r="G728" s="3">
        <v>81.7</v>
      </c>
    </row>
    <row r="729">
      <c r="A729" s="2">
        <v>44409.0</v>
      </c>
      <c r="B729" s="3">
        <v>2021.0</v>
      </c>
      <c r="C729" s="3">
        <v>8.0</v>
      </c>
      <c r="D729" s="3" t="s">
        <v>10</v>
      </c>
      <c r="E729" s="3">
        <v>14.83</v>
      </c>
      <c r="F729" s="3">
        <v>17.41</v>
      </c>
      <c r="G729" s="3">
        <v>85.2</v>
      </c>
    </row>
    <row r="730">
      <c r="A730" s="2">
        <v>44440.0</v>
      </c>
      <c r="B730" s="3">
        <v>2021.0</v>
      </c>
      <c r="C730" s="3">
        <v>9.0</v>
      </c>
      <c r="D730" s="3" t="s">
        <v>10</v>
      </c>
      <c r="E730" s="3">
        <v>15.0</v>
      </c>
      <c r="F730" s="3">
        <v>17.97</v>
      </c>
      <c r="G730" s="3">
        <v>83.5</v>
      </c>
    </row>
    <row r="731">
      <c r="A731" s="4">
        <v>44470.0</v>
      </c>
      <c r="B731" s="3">
        <v>2021.0</v>
      </c>
      <c r="C731" s="3">
        <v>10.0</v>
      </c>
      <c r="D731" s="3" t="s">
        <v>10</v>
      </c>
      <c r="E731" s="3">
        <v>14.93</v>
      </c>
      <c r="F731" s="3">
        <v>18.74</v>
      </c>
      <c r="G731" s="3">
        <v>79.7</v>
      </c>
    </row>
    <row r="732">
      <c r="A732" s="4">
        <v>44501.0</v>
      </c>
      <c r="B732" s="3">
        <v>2021.0</v>
      </c>
      <c r="C732" s="3">
        <v>11.0</v>
      </c>
      <c r="D732" s="3" t="s">
        <v>10</v>
      </c>
      <c r="E732" s="3">
        <v>14.02</v>
      </c>
      <c r="F732" s="3">
        <v>17.22</v>
      </c>
      <c r="G732" s="3">
        <v>81.4</v>
      </c>
    </row>
    <row r="733">
      <c r="A733" s="4">
        <v>44531.0</v>
      </c>
      <c r="B733" s="3">
        <v>2021.0</v>
      </c>
      <c r="C733" s="3">
        <v>12.0</v>
      </c>
      <c r="D733" s="3" t="s">
        <v>10</v>
      </c>
      <c r="E733" s="3">
        <v>12.01</v>
      </c>
      <c r="F733" s="3">
        <v>15.45</v>
      </c>
      <c r="G733" s="3">
        <v>77.7</v>
      </c>
    </row>
    <row r="734">
      <c r="A734" s="2">
        <v>44562.0</v>
      </c>
      <c r="B734" s="3">
        <v>2022.0</v>
      </c>
      <c r="C734" s="3">
        <v>1.0</v>
      </c>
      <c r="D734" s="3" t="s">
        <v>10</v>
      </c>
      <c r="E734" s="3">
        <v>18.57</v>
      </c>
      <c r="F734" s="3">
        <v>22.35</v>
      </c>
      <c r="G734" s="3">
        <v>83.1</v>
      </c>
    </row>
    <row r="735">
      <c r="A735" s="2">
        <v>44593.0</v>
      </c>
      <c r="B735" s="3">
        <v>2022.0</v>
      </c>
      <c r="C735" s="3">
        <v>2.0</v>
      </c>
      <c r="D735" s="3" t="s">
        <v>10</v>
      </c>
      <c r="E735" s="3">
        <v>19.12</v>
      </c>
      <c r="F735" s="3">
        <v>23.21</v>
      </c>
      <c r="G735" s="3">
        <v>82.4</v>
      </c>
    </row>
    <row r="736">
      <c r="A736" s="2">
        <v>44621.0</v>
      </c>
      <c r="B736" s="3">
        <v>2022.0</v>
      </c>
      <c r="C736" s="3">
        <v>3.0</v>
      </c>
      <c r="D736" s="3" t="s">
        <v>10</v>
      </c>
      <c r="E736" s="3">
        <v>21.06</v>
      </c>
      <c r="F736" s="3">
        <v>26.51</v>
      </c>
      <c r="G736" s="3">
        <v>79.5</v>
      </c>
    </row>
    <row r="737">
      <c r="A737" s="2">
        <v>44652.0</v>
      </c>
      <c r="B737" s="3">
        <v>2022.0</v>
      </c>
      <c r="C737" s="3">
        <v>4.0</v>
      </c>
      <c r="D737" s="3" t="s">
        <v>10</v>
      </c>
      <c r="E737" s="3">
        <v>21.49</v>
      </c>
      <c r="F737" s="3">
        <v>26.01</v>
      </c>
      <c r="G737" s="3">
        <v>82.6</v>
      </c>
    </row>
    <row r="738">
      <c r="A738" s="2">
        <v>44682.0</v>
      </c>
      <c r="B738" s="3">
        <v>2022.0</v>
      </c>
      <c r="C738" s="3">
        <v>5.0</v>
      </c>
      <c r="D738" s="3" t="s">
        <v>10</v>
      </c>
      <c r="E738" s="3">
        <v>23.15</v>
      </c>
      <c r="F738" s="3">
        <v>28.21</v>
      </c>
      <c r="G738" s="3">
        <v>82.1</v>
      </c>
    </row>
    <row r="739">
      <c r="A739" s="2">
        <v>44713.0</v>
      </c>
      <c r="B739" s="3">
        <v>2022.0</v>
      </c>
      <c r="C739" s="3">
        <v>6.0</v>
      </c>
      <c r="D739" s="3" t="s">
        <v>10</v>
      </c>
      <c r="E739" s="3">
        <v>24.68</v>
      </c>
      <c r="F739" s="3">
        <v>29.09</v>
      </c>
      <c r="G739" s="3">
        <v>84.8</v>
      </c>
    </row>
    <row r="740">
      <c r="A740" s="2">
        <v>44743.0</v>
      </c>
      <c r="B740" s="3">
        <v>2022.0</v>
      </c>
      <c r="C740" s="3">
        <v>7.0</v>
      </c>
      <c r="D740" s="3" t="s">
        <v>10</v>
      </c>
      <c r="E740" s="3">
        <v>27.12</v>
      </c>
      <c r="F740" s="3">
        <v>31.51</v>
      </c>
      <c r="G740" s="3">
        <v>86.1</v>
      </c>
    </row>
    <row r="741">
      <c r="A741" s="2">
        <v>44774.0</v>
      </c>
      <c r="B741" s="3">
        <v>2022.0</v>
      </c>
      <c r="C741" s="3">
        <v>8.0</v>
      </c>
      <c r="D741" s="3" t="s">
        <v>10</v>
      </c>
      <c r="E741" s="3">
        <v>28.63</v>
      </c>
      <c r="F741" s="3">
        <v>34.06</v>
      </c>
      <c r="G741" s="3">
        <v>84.1</v>
      </c>
    </row>
    <row r="742">
      <c r="A742" s="2">
        <v>44805.0</v>
      </c>
      <c r="B742" s="3">
        <v>2022.0</v>
      </c>
      <c r="C742" s="3">
        <v>9.0</v>
      </c>
      <c r="D742" s="3" t="s">
        <v>10</v>
      </c>
      <c r="E742" s="3">
        <v>28.58</v>
      </c>
      <c r="F742" s="3">
        <v>34.88</v>
      </c>
      <c r="G742" s="3">
        <v>81.9</v>
      </c>
    </row>
    <row r="743">
      <c r="A743" s="4">
        <v>44835.0</v>
      </c>
      <c r="B743" s="3">
        <v>2022.0</v>
      </c>
      <c r="C743" s="3">
        <v>10.0</v>
      </c>
      <c r="D743" s="3" t="s">
        <v>10</v>
      </c>
      <c r="E743" s="3">
        <v>27.2</v>
      </c>
      <c r="F743" s="3">
        <v>33.08</v>
      </c>
      <c r="G743" s="3">
        <v>82.2</v>
      </c>
    </row>
    <row r="744">
      <c r="A744" s="4">
        <v>44866.0</v>
      </c>
      <c r="B744" s="3">
        <v>2022.0</v>
      </c>
      <c r="C744" s="3">
        <v>11.0</v>
      </c>
      <c r="D744" s="3" t="s">
        <v>10</v>
      </c>
      <c r="E744" s="3">
        <v>26.42</v>
      </c>
      <c r="F744" s="3">
        <v>32.84</v>
      </c>
      <c r="G744" s="3">
        <v>80.4</v>
      </c>
    </row>
    <row r="745">
      <c r="A745" s="4">
        <v>44896.0</v>
      </c>
      <c r="B745" s="3">
        <v>2022.0</v>
      </c>
      <c r="C745" s="3">
        <v>12.0</v>
      </c>
      <c r="D745" s="3" t="s">
        <v>10</v>
      </c>
      <c r="E745" s="3">
        <v>24.5</v>
      </c>
      <c r="F745" s="3">
        <v>30.33</v>
      </c>
      <c r="G745" s="3">
        <v>80.8</v>
      </c>
    </row>
    <row r="746">
      <c r="A746" s="2">
        <v>44927.0</v>
      </c>
      <c r="B746" s="3">
        <v>2023.0</v>
      </c>
      <c r="C746" s="3">
        <v>1.0</v>
      </c>
      <c r="D746" s="3" t="s">
        <v>10</v>
      </c>
      <c r="E746" s="3">
        <v>25.17</v>
      </c>
      <c r="F746" s="3">
        <v>30.76</v>
      </c>
      <c r="G746" s="3">
        <v>81.8</v>
      </c>
    </row>
    <row r="747">
      <c r="A747" s="2">
        <v>44958.0</v>
      </c>
      <c r="B747" s="3">
        <v>2023.0</v>
      </c>
      <c r="C747" s="3">
        <v>2.0</v>
      </c>
      <c r="D747" s="3" t="s">
        <v>10</v>
      </c>
      <c r="E747" s="3">
        <v>24.41</v>
      </c>
      <c r="F747" s="3">
        <v>29.91</v>
      </c>
      <c r="G747" s="3">
        <v>81.6</v>
      </c>
    </row>
    <row r="748">
      <c r="A748" s="2">
        <v>44986.0</v>
      </c>
      <c r="B748" s="3">
        <v>2023.0</v>
      </c>
      <c r="C748" s="3">
        <v>3.0</v>
      </c>
      <c r="D748" s="3" t="s">
        <v>10</v>
      </c>
      <c r="E748" s="3">
        <v>24.41</v>
      </c>
      <c r="F748" s="3">
        <v>30.76</v>
      </c>
      <c r="G748" s="3">
        <v>79.4</v>
      </c>
    </row>
    <row r="749">
      <c r="A749" s="2">
        <v>45017.0</v>
      </c>
      <c r="B749" s="3">
        <v>2023.0</v>
      </c>
      <c r="C749" s="3">
        <v>4.0</v>
      </c>
      <c r="D749" s="3" t="s">
        <v>10</v>
      </c>
      <c r="E749" s="3">
        <v>25.78</v>
      </c>
      <c r="F749" s="3">
        <v>31.28</v>
      </c>
      <c r="G749" s="3">
        <v>82.4</v>
      </c>
    </row>
    <row r="750">
      <c r="A750" s="2">
        <v>45047.0</v>
      </c>
      <c r="B750" s="3">
        <v>2023.0</v>
      </c>
      <c r="C750" s="3">
        <v>5.0</v>
      </c>
      <c r="D750" s="3" t="s">
        <v>10</v>
      </c>
      <c r="E750" s="3">
        <v>30.06</v>
      </c>
      <c r="F750" s="3">
        <v>36.47</v>
      </c>
      <c r="G750" s="3">
        <v>82.4</v>
      </c>
    </row>
    <row r="751">
      <c r="A751" s="2">
        <v>45078.0</v>
      </c>
      <c r="B751" s="3">
        <v>2023.0</v>
      </c>
      <c r="C751" s="3">
        <v>6.0</v>
      </c>
      <c r="D751" s="3" t="s">
        <v>10</v>
      </c>
      <c r="E751" s="3">
        <v>32.59</v>
      </c>
      <c r="F751" s="3">
        <v>39.13</v>
      </c>
      <c r="G751" s="3">
        <v>83.3</v>
      </c>
    </row>
    <row r="752">
      <c r="A752" s="2">
        <v>45108.0</v>
      </c>
      <c r="B752" s="3">
        <v>2023.0</v>
      </c>
      <c r="C752" s="3">
        <v>7.0</v>
      </c>
      <c r="D752" s="3" t="s">
        <v>10</v>
      </c>
      <c r="E752" s="3">
        <v>35.0</v>
      </c>
      <c r="F752" s="3">
        <v>42.74</v>
      </c>
      <c r="G752" s="3">
        <v>81.9</v>
      </c>
    </row>
    <row r="753">
      <c r="A753" s="2">
        <v>45139.0</v>
      </c>
      <c r="B753" s="3">
        <v>2023.0</v>
      </c>
      <c r="C753" s="3">
        <v>8.0</v>
      </c>
      <c r="D753" s="3" t="s">
        <v>10</v>
      </c>
      <c r="E753" s="3">
        <v>36.96</v>
      </c>
      <c r="F753" s="3">
        <v>45.62</v>
      </c>
      <c r="G753" s="3">
        <v>81.0</v>
      </c>
    </row>
    <row r="754">
      <c r="A754" s="2">
        <v>45170.0</v>
      </c>
      <c r="B754" s="3">
        <v>2023.0</v>
      </c>
      <c r="C754" s="3">
        <v>9.0</v>
      </c>
      <c r="D754" s="3" t="s">
        <v>10</v>
      </c>
      <c r="E754" s="3">
        <v>33.49</v>
      </c>
      <c r="F754" s="3">
        <v>42.09</v>
      </c>
      <c r="G754" s="3">
        <v>79.6</v>
      </c>
    </row>
    <row r="755">
      <c r="A755" s="4">
        <v>45200.0</v>
      </c>
      <c r="B755" s="3">
        <v>2023.0</v>
      </c>
      <c r="C755" s="3">
        <v>10.0</v>
      </c>
      <c r="D755" s="3" t="s">
        <v>10</v>
      </c>
      <c r="E755" s="3">
        <v>35.45</v>
      </c>
      <c r="F755" s="3">
        <v>42.39</v>
      </c>
      <c r="G755" s="3">
        <v>83.6</v>
      </c>
    </row>
    <row r="756">
      <c r="A756" s="4">
        <v>45231.0</v>
      </c>
      <c r="B756" s="3">
        <v>2023.0</v>
      </c>
      <c r="C756" s="3">
        <v>11.0</v>
      </c>
      <c r="D756" s="3" t="s">
        <v>10</v>
      </c>
      <c r="E756" s="3">
        <v>30.86</v>
      </c>
      <c r="F756" s="3">
        <v>36.52</v>
      </c>
      <c r="G756" s="3">
        <v>84.5</v>
      </c>
    </row>
    <row r="757">
      <c r="A757" s="4">
        <v>45261.0</v>
      </c>
      <c r="B757" s="3">
        <v>2023.0</v>
      </c>
      <c r="C757" s="3">
        <v>12.0</v>
      </c>
      <c r="D757" s="3" t="s">
        <v>10</v>
      </c>
      <c r="E757" s="3">
        <v>29.82</v>
      </c>
      <c r="F757" s="3">
        <v>34.71</v>
      </c>
      <c r="G757" s="3">
        <v>85.9</v>
      </c>
    </row>
    <row r="758">
      <c r="A758" s="2">
        <v>45292.0</v>
      </c>
      <c r="B758" s="3">
        <v>2024.0</v>
      </c>
      <c r="C758" s="3">
        <v>1.0</v>
      </c>
      <c r="D758" s="3" t="s">
        <v>10</v>
      </c>
      <c r="E758" s="3">
        <v>26.58</v>
      </c>
      <c r="F758" s="3">
        <v>32.63</v>
      </c>
      <c r="G758" s="3">
        <v>81.5</v>
      </c>
    </row>
    <row r="759">
      <c r="A759" s="2">
        <v>45323.0</v>
      </c>
      <c r="B759" s="3">
        <v>2024.0</v>
      </c>
      <c r="C759" s="3">
        <v>2.0</v>
      </c>
      <c r="D759" s="3" t="s">
        <v>10</v>
      </c>
      <c r="E759" s="3">
        <v>27.03</v>
      </c>
      <c r="F759" s="3">
        <v>34.64</v>
      </c>
      <c r="G759" s="3">
        <v>78.1</v>
      </c>
    </row>
    <row r="760">
      <c r="A760" s="2">
        <v>45352.0</v>
      </c>
      <c r="B760" s="3">
        <v>2024.0</v>
      </c>
      <c r="C760" s="3">
        <v>3.0</v>
      </c>
      <c r="D760" s="3" t="s">
        <v>10</v>
      </c>
      <c r="E760" s="3">
        <v>29.19</v>
      </c>
      <c r="F760" s="3">
        <v>35.84</v>
      </c>
      <c r="G760" s="3">
        <v>81.5</v>
      </c>
    </row>
    <row r="761">
      <c r="A761" s="2">
        <v>45383.0</v>
      </c>
      <c r="B761" s="3">
        <v>2024.0</v>
      </c>
      <c r="C761" s="3">
        <v>4.0</v>
      </c>
      <c r="D761" s="3" t="s">
        <v>10</v>
      </c>
      <c r="E761" s="3">
        <v>30.97</v>
      </c>
      <c r="F761" s="3">
        <v>35.72</v>
      </c>
      <c r="G761" s="3">
        <v>86.7</v>
      </c>
    </row>
    <row r="762">
      <c r="A762" s="2">
        <v>45413.0</v>
      </c>
      <c r="B762" s="3">
        <v>2024.0</v>
      </c>
      <c r="C762" s="3">
        <v>5.0</v>
      </c>
      <c r="D762" s="3" t="s">
        <v>10</v>
      </c>
      <c r="E762" s="3">
        <v>32.65</v>
      </c>
      <c r="F762" s="3">
        <v>40.23</v>
      </c>
      <c r="G762" s="3">
        <v>81.2</v>
      </c>
    </row>
    <row r="763">
      <c r="A763" s="2">
        <v>45444.0</v>
      </c>
      <c r="B763" s="3">
        <v>2024.0</v>
      </c>
      <c r="C763" s="3">
        <v>6.0</v>
      </c>
      <c r="D763" s="3" t="s">
        <v>10</v>
      </c>
      <c r="E763" s="3">
        <v>35.87</v>
      </c>
      <c r="F763" s="3">
        <v>42.72</v>
      </c>
      <c r="G763" s="3">
        <v>84.0</v>
      </c>
    </row>
    <row r="764">
      <c r="A764" s="2">
        <v>45474.0</v>
      </c>
      <c r="B764" s="3">
        <v>2024.0</v>
      </c>
      <c r="C764" s="3">
        <v>7.0</v>
      </c>
      <c r="D764" s="3" t="s">
        <v>10</v>
      </c>
      <c r="E764" s="3">
        <v>37.21</v>
      </c>
      <c r="F764" s="3">
        <v>46.09</v>
      </c>
      <c r="G764" s="3">
        <v>80.7</v>
      </c>
    </row>
    <row r="765">
      <c r="A765" s="2">
        <v>45505.0</v>
      </c>
      <c r="B765" s="3">
        <v>2024.0</v>
      </c>
      <c r="C765" s="3">
        <v>8.0</v>
      </c>
      <c r="D765" s="3" t="s">
        <v>10</v>
      </c>
      <c r="E765" s="3">
        <v>40.06</v>
      </c>
      <c r="F765" s="3">
        <v>48.41</v>
      </c>
      <c r="G765" s="3">
        <v>82.8</v>
      </c>
    </row>
    <row r="766">
      <c r="A766" s="2">
        <v>45536.0</v>
      </c>
      <c r="B766" s="3">
        <v>2024.0</v>
      </c>
      <c r="C766" s="3">
        <v>9.0</v>
      </c>
      <c r="D766" s="3" t="s">
        <v>10</v>
      </c>
      <c r="E766" s="3">
        <v>36.13</v>
      </c>
      <c r="F766" s="3">
        <v>45.42</v>
      </c>
      <c r="G766" s="3">
        <v>79.5</v>
      </c>
    </row>
    <row r="767">
      <c r="A767" s="4">
        <v>45566.0</v>
      </c>
      <c r="B767" s="3">
        <v>2024.0</v>
      </c>
      <c r="C767" s="3">
        <v>10.0</v>
      </c>
      <c r="D767" s="3" t="s">
        <v>10</v>
      </c>
      <c r="E767" s="3">
        <v>38.51</v>
      </c>
      <c r="F767" s="3">
        <v>46.51</v>
      </c>
      <c r="G767" s="3">
        <v>82.8</v>
      </c>
    </row>
    <row r="768">
      <c r="A768" s="4">
        <v>45597.0</v>
      </c>
      <c r="B768" s="3">
        <v>2024.0</v>
      </c>
      <c r="C768" s="3">
        <v>11.0</v>
      </c>
      <c r="D768" s="3" t="s">
        <v>10</v>
      </c>
      <c r="E768" s="3">
        <v>33.72</v>
      </c>
      <c r="F768" s="3">
        <v>41.29</v>
      </c>
      <c r="G768" s="3">
        <v>81.7</v>
      </c>
    </row>
    <row r="769">
      <c r="A769" s="4">
        <v>45627.0</v>
      </c>
      <c r="B769" s="3">
        <v>2024.0</v>
      </c>
      <c r="C769" s="3">
        <v>12.0</v>
      </c>
      <c r="D769" s="3" t="s">
        <v>10</v>
      </c>
      <c r="E769" s="3">
        <v>32.16</v>
      </c>
      <c r="F769" s="3">
        <v>38.52</v>
      </c>
      <c r="G769" s="3">
        <v>83.5</v>
      </c>
    </row>
    <row r="770">
      <c r="A770" s="2">
        <v>45658.0</v>
      </c>
      <c r="B770" s="3">
        <v>2025.0</v>
      </c>
      <c r="C770" s="3">
        <v>1.0</v>
      </c>
      <c r="D770" s="3" t="s">
        <v>10</v>
      </c>
      <c r="E770" s="3">
        <v>29.24</v>
      </c>
      <c r="F770" s="3">
        <v>36.4</v>
      </c>
      <c r="G770" s="3">
        <v>80.3</v>
      </c>
    </row>
    <row r="771">
      <c r="A771" s="2">
        <v>45689.0</v>
      </c>
      <c r="B771" s="3">
        <v>2025.0</v>
      </c>
      <c r="C771" s="3">
        <v>2.0</v>
      </c>
      <c r="D771" s="3" t="s">
        <v>10</v>
      </c>
      <c r="E771" s="3">
        <v>30.21</v>
      </c>
      <c r="F771" s="3">
        <v>36.93</v>
      </c>
      <c r="G771" s="3">
        <v>81.8</v>
      </c>
    </row>
    <row r="772">
      <c r="A772" s="2">
        <v>45717.0</v>
      </c>
      <c r="B772" s="3">
        <v>2025.0</v>
      </c>
      <c r="C772" s="3">
        <v>3.0</v>
      </c>
      <c r="D772" s="3" t="s">
        <v>10</v>
      </c>
      <c r="E772" s="3">
        <v>31.42</v>
      </c>
      <c r="F772" s="3">
        <v>39.51</v>
      </c>
      <c r="G772" s="3">
        <v>79.5</v>
      </c>
    </row>
    <row r="773">
      <c r="A773" s="2">
        <v>45748.0</v>
      </c>
      <c r="B773" s="3">
        <v>2025.0</v>
      </c>
      <c r="C773" s="3">
        <v>4.0</v>
      </c>
      <c r="D773" s="3" t="s">
        <v>10</v>
      </c>
      <c r="E773" s="3">
        <v>33.42</v>
      </c>
      <c r="F773" s="3">
        <v>39.71</v>
      </c>
      <c r="G773" s="3">
        <v>84.2</v>
      </c>
    </row>
    <row r="774">
      <c r="A774" s="2">
        <v>45778.0</v>
      </c>
      <c r="B774" s="3">
        <v>2025.0</v>
      </c>
      <c r="C774" s="3">
        <v>5.0</v>
      </c>
      <c r="D774" s="3" t="s">
        <v>10</v>
      </c>
      <c r="E774" s="3">
        <v>36.53</v>
      </c>
      <c r="F774" s="3">
        <v>44.4</v>
      </c>
      <c r="G774" s="3">
        <v>82.3</v>
      </c>
    </row>
    <row r="775">
      <c r="A775" s="2">
        <v>45809.0</v>
      </c>
      <c r="B775" s="3">
        <v>2025.0</v>
      </c>
      <c r="C775" s="3">
        <v>6.0</v>
      </c>
      <c r="D775" s="3" t="s">
        <v>10</v>
      </c>
      <c r="E775" s="3">
        <v>38.86</v>
      </c>
      <c r="F775" s="3">
        <v>48.37</v>
      </c>
      <c r="G775" s="3">
        <v>80.3</v>
      </c>
    </row>
    <row r="776">
      <c r="A776" s="2">
        <v>45839.0</v>
      </c>
      <c r="B776" s="3">
        <v>2025.0</v>
      </c>
      <c r="C776" s="3">
        <v>7.0</v>
      </c>
      <c r="D776" s="3" t="s">
        <v>10</v>
      </c>
      <c r="E776" s="3">
        <v>41.15</v>
      </c>
      <c r="F776" s="3">
        <v>48.69</v>
      </c>
      <c r="G776" s="3">
        <v>84.5</v>
      </c>
    </row>
    <row r="777">
      <c r="A777" s="2">
        <v>45870.0</v>
      </c>
      <c r="B777" s="3">
        <v>2025.0</v>
      </c>
      <c r="C777" s="3">
        <v>8.0</v>
      </c>
      <c r="D777" s="3" t="s">
        <v>10</v>
      </c>
      <c r="E777" s="3">
        <v>42.11</v>
      </c>
      <c r="F777" s="3">
        <v>52.5</v>
      </c>
      <c r="G777" s="3">
        <v>80.2</v>
      </c>
    </row>
    <row r="778">
      <c r="A778" s="2">
        <v>45901.0</v>
      </c>
      <c r="B778" s="3">
        <v>2025.0</v>
      </c>
      <c r="C778" s="3">
        <v>9.0</v>
      </c>
      <c r="D778" s="3" t="s">
        <v>10</v>
      </c>
      <c r="E778" s="3">
        <v>41.19</v>
      </c>
      <c r="F778" s="3">
        <v>49.99</v>
      </c>
      <c r="G778" s="3">
        <v>82.4</v>
      </c>
    </row>
    <row r="779">
      <c r="A779" s="4">
        <v>45931.0</v>
      </c>
      <c r="B779" s="3">
        <v>2025.0</v>
      </c>
      <c r="C779" s="3">
        <v>10.0</v>
      </c>
      <c r="D779" s="3" t="s">
        <v>10</v>
      </c>
      <c r="E779" s="3">
        <v>39.6</v>
      </c>
      <c r="F779" s="3">
        <v>47.72</v>
      </c>
      <c r="G779" s="3">
        <v>83.0</v>
      </c>
    </row>
    <row r="780">
      <c r="A780" s="4">
        <v>45962.0</v>
      </c>
      <c r="B780" s="3">
        <v>2025.0</v>
      </c>
      <c r="C780" s="3">
        <v>11.0</v>
      </c>
      <c r="D780" s="3" t="s">
        <v>10</v>
      </c>
      <c r="E780" s="3">
        <v>38.09</v>
      </c>
      <c r="F780" s="3">
        <v>45.47</v>
      </c>
      <c r="G780" s="3">
        <v>83.8</v>
      </c>
    </row>
    <row r="781">
      <c r="A781" s="4">
        <v>45992.0</v>
      </c>
      <c r="B781" s="3">
        <v>2025.0</v>
      </c>
      <c r="C781" s="3">
        <v>12.0</v>
      </c>
      <c r="D781" s="3" t="s">
        <v>10</v>
      </c>
      <c r="E781" s="3">
        <v>36.44</v>
      </c>
      <c r="F781" s="3">
        <v>43.39</v>
      </c>
      <c r="G781" s="3">
        <v>84.0</v>
      </c>
    </row>
    <row r="782">
      <c r="A782" s="2">
        <v>46023.0</v>
      </c>
      <c r="B782" s="3">
        <v>2026.0</v>
      </c>
      <c r="C782" s="3">
        <v>1.0</v>
      </c>
      <c r="D782" s="3" t="s">
        <v>10</v>
      </c>
      <c r="E782" s="3">
        <v>32.15</v>
      </c>
      <c r="F782" s="3">
        <v>40.09</v>
      </c>
      <c r="G782" s="3">
        <v>80.2</v>
      </c>
    </row>
    <row r="783">
      <c r="A783" s="2">
        <v>46054.0</v>
      </c>
      <c r="B783" s="3">
        <v>2026.0</v>
      </c>
      <c r="C783" s="3">
        <v>2.0</v>
      </c>
      <c r="D783" s="3" t="s">
        <v>10</v>
      </c>
      <c r="E783" s="3">
        <v>32.23</v>
      </c>
      <c r="F783" s="3">
        <v>39.74</v>
      </c>
      <c r="G783" s="3">
        <v>81.1</v>
      </c>
    </row>
    <row r="784">
      <c r="A784" s="2">
        <v>46082.0</v>
      </c>
      <c r="B784" s="3">
        <v>2026.0</v>
      </c>
      <c r="C784" s="3">
        <v>3.0</v>
      </c>
      <c r="D784" s="3" t="s">
        <v>10</v>
      </c>
      <c r="E784" s="3">
        <v>31.95</v>
      </c>
      <c r="F784" s="3">
        <v>39.39</v>
      </c>
      <c r="G784" s="3">
        <v>81.1</v>
      </c>
    </row>
    <row r="785">
      <c r="A785" s="2">
        <v>46113.0</v>
      </c>
      <c r="B785" s="3">
        <v>2026.0</v>
      </c>
      <c r="C785" s="3">
        <v>4.0</v>
      </c>
      <c r="D785" s="3" t="s">
        <v>10</v>
      </c>
      <c r="E785" s="3">
        <v>34.65</v>
      </c>
      <c r="F785" s="3">
        <v>42.96</v>
      </c>
      <c r="G785" s="3">
        <v>80.7</v>
      </c>
    </row>
    <row r="786">
      <c r="A786" s="2">
        <v>40179.0</v>
      </c>
      <c r="B786" s="3">
        <v>2010.0</v>
      </c>
      <c r="C786" s="3">
        <v>1.0</v>
      </c>
      <c r="D786" s="3" t="s">
        <v>11</v>
      </c>
      <c r="E786" s="3">
        <v>11.99</v>
      </c>
      <c r="F786" s="3">
        <v>14.21</v>
      </c>
      <c r="G786" s="3">
        <v>84.4</v>
      </c>
    </row>
    <row r="787">
      <c r="A787" s="2">
        <v>40210.0</v>
      </c>
      <c r="B787" s="3">
        <v>2010.0</v>
      </c>
      <c r="C787" s="3">
        <v>2.0</v>
      </c>
      <c r="D787" s="3" t="s">
        <v>11</v>
      </c>
      <c r="E787" s="3">
        <v>12.08</v>
      </c>
      <c r="F787" s="3">
        <v>13.89</v>
      </c>
      <c r="G787" s="3">
        <v>86.9</v>
      </c>
    </row>
    <row r="788">
      <c r="A788" s="2">
        <v>40238.0</v>
      </c>
      <c r="B788" s="3">
        <v>2010.0</v>
      </c>
      <c r="C788" s="3">
        <v>3.0</v>
      </c>
      <c r="D788" s="3" t="s">
        <v>11</v>
      </c>
      <c r="E788" s="3">
        <v>11.71</v>
      </c>
      <c r="F788" s="3">
        <v>14.39</v>
      </c>
      <c r="G788" s="3">
        <v>81.4</v>
      </c>
    </row>
    <row r="789">
      <c r="A789" s="2">
        <v>40269.0</v>
      </c>
      <c r="B789" s="3">
        <v>2010.0</v>
      </c>
      <c r="C789" s="3">
        <v>4.0</v>
      </c>
      <c r="D789" s="3" t="s">
        <v>11</v>
      </c>
      <c r="E789" s="3">
        <v>11.15</v>
      </c>
      <c r="F789" s="3">
        <v>13.51</v>
      </c>
      <c r="G789" s="3">
        <v>82.5</v>
      </c>
    </row>
    <row r="790">
      <c r="A790" s="2">
        <v>40299.0</v>
      </c>
      <c r="B790" s="3">
        <v>2010.0</v>
      </c>
      <c r="C790" s="3">
        <v>5.0</v>
      </c>
      <c r="D790" s="3" t="s">
        <v>11</v>
      </c>
      <c r="E790" s="3">
        <v>10.78</v>
      </c>
      <c r="F790" s="3">
        <v>12.51</v>
      </c>
      <c r="G790" s="3">
        <v>86.2</v>
      </c>
    </row>
    <row r="791">
      <c r="A791" s="2">
        <v>40330.0</v>
      </c>
      <c r="B791" s="3">
        <v>2010.0</v>
      </c>
      <c r="C791" s="3">
        <v>6.0</v>
      </c>
      <c r="D791" s="3" t="s">
        <v>11</v>
      </c>
      <c r="E791" s="3">
        <v>10.02</v>
      </c>
      <c r="F791" s="3">
        <v>11.97</v>
      </c>
      <c r="G791" s="3">
        <v>83.7</v>
      </c>
    </row>
    <row r="792">
      <c r="A792" s="2">
        <v>40360.0</v>
      </c>
      <c r="B792" s="3">
        <v>2010.0</v>
      </c>
      <c r="C792" s="3">
        <v>7.0</v>
      </c>
      <c r="D792" s="3" t="s">
        <v>11</v>
      </c>
      <c r="E792" s="3">
        <v>10.23</v>
      </c>
      <c r="F792" s="3">
        <v>12.98</v>
      </c>
      <c r="G792" s="3">
        <v>78.9</v>
      </c>
    </row>
    <row r="793">
      <c r="A793" s="2">
        <v>40391.0</v>
      </c>
      <c r="B793" s="3">
        <v>2010.0</v>
      </c>
      <c r="C793" s="3">
        <v>8.0</v>
      </c>
      <c r="D793" s="3" t="s">
        <v>11</v>
      </c>
      <c r="E793" s="3">
        <v>10.61</v>
      </c>
      <c r="F793" s="3">
        <v>12.55</v>
      </c>
      <c r="G793" s="3">
        <v>84.5</v>
      </c>
    </row>
    <row r="794">
      <c r="A794" s="2">
        <v>40422.0</v>
      </c>
      <c r="B794" s="3">
        <v>2010.0</v>
      </c>
      <c r="C794" s="3">
        <v>9.0</v>
      </c>
      <c r="D794" s="3" t="s">
        <v>11</v>
      </c>
      <c r="E794" s="3">
        <v>10.56</v>
      </c>
      <c r="F794" s="3">
        <v>12.87</v>
      </c>
      <c r="G794" s="3">
        <v>82.0</v>
      </c>
    </row>
    <row r="795">
      <c r="A795" s="4">
        <v>40452.0</v>
      </c>
      <c r="B795" s="3">
        <v>2010.0</v>
      </c>
      <c r="C795" s="3">
        <v>10.0</v>
      </c>
      <c r="D795" s="3" t="s">
        <v>11</v>
      </c>
      <c r="E795" s="3">
        <v>10.87</v>
      </c>
      <c r="F795" s="3">
        <v>13.68</v>
      </c>
      <c r="G795" s="3">
        <v>79.5</v>
      </c>
    </row>
    <row r="796">
      <c r="A796" s="4">
        <v>40483.0</v>
      </c>
      <c r="B796" s="3">
        <v>2010.0</v>
      </c>
      <c r="C796" s="3">
        <v>11.0</v>
      </c>
      <c r="D796" s="3" t="s">
        <v>11</v>
      </c>
      <c r="E796" s="3">
        <v>12.46</v>
      </c>
      <c r="F796" s="3">
        <v>15.37</v>
      </c>
      <c r="G796" s="3">
        <v>81.1</v>
      </c>
    </row>
    <row r="797">
      <c r="A797" s="4">
        <v>40513.0</v>
      </c>
      <c r="B797" s="3">
        <v>2010.0</v>
      </c>
      <c r="C797" s="3">
        <v>12.0</v>
      </c>
      <c r="D797" s="3" t="s">
        <v>11</v>
      </c>
      <c r="E797" s="3">
        <v>12.14</v>
      </c>
      <c r="F797" s="3">
        <v>14.72</v>
      </c>
      <c r="G797" s="3">
        <v>82.5</v>
      </c>
    </row>
    <row r="798">
      <c r="A798" s="2">
        <v>40544.0</v>
      </c>
      <c r="B798" s="3">
        <v>2011.0</v>
      </c>
      <c r="C798" s="3">
        <v>1.0</v>
      </c>
      <c r="D798" s="3" t="s">
        <v>11</v>
      </c>
      <c r="E798" s="3">
        <v>12.56</v>
      </c>
      <c r="F798" s="3">
        <v>15.5</v>
      </c>
      <c r="G798" s="3">
        <v>81.1</v>
      </c>
    </row>
    <row r="799">
      <c r="A799" s="2">
        <v>40575.0</v>
      </c>
      <c r="B799" s="3">
        <v>2011.0</v>
      </c>
      <c r="C799" s="3">
        <v>2.0</v>
      </c>
      <c r="D799" s="3" t="s">
        <v>11</v>
      </c>
      <c r="E799" s="3">
        <v>12.94</v>
      </c>
      <c r="F799" s="3">
        <v>16.24</v>
      </c>
      <c r="G799" s="3">
        <v>79.7</v>
      </c>
    </row>
    <row r="800">
      <c r="A800" s="2">
        <v>40603.0</v>
      </c>
      <c r="B800" s="3">
        <v>2011.0</v>
      </c>
      <c r="C800" s="3">
        <v>3.0</v>
      </c>
      <c r="D800" s="3" t="s">
        <v>11</v>
      </c>
      <c r="E800" s="3">
        <v>11.96</v>
      </c>
      <c r="F800" s="3">
        <v>14.53</v>
      </c>
      <c r="G800" s="3">
        <v>82.3</v>
      </c>
    </row>
    <row r="801">
      <c r="A801" s="2">
        <v>40634.0</v>
      </c>
      <c r="B801" s="3">
        <v>2011.0</v>
      </c>
      <c r="C801" s="3">
        <v>4.0</v>
      </c>
      <c r="D801" s="3" t="s">
        <v>11</v>
      </c>
      <c r="E801" s="3">
        <v>12.1</v>
      </c>
      <c r="F801" s="3">
        <v>14.32</v>
      </c>
      <c r="G801" s="3">
        <v>84.5</v>
      </c>
    </row>
    <row r="802">
      <c r="A802" s="2">
        <v>40664.0</v>
      </c>
      <c r="B802" s="3">
        <v>2011.0</v>
      </c>
      <c r="C802" s="3">
        <v>5.0</v>
      </c>
      <c r="D802" s="3" t="s">
        <v>11</v>
      </c>
      <c r="E802" s="3">
        <v>10.99</v>
      </c>
      <c r="F802" s="3">
        <v>13.1</v>
      </c>
      <c r="G802" s="3">
        <v>83.9</v>
      </c>
    </row>
    <row r="803">
      <c r="A803" s="2">
        <v>40695.0</v>
      </c>
      <c r="B803" s="3">
        <v>2011.0</v>
      </c>
      <c r="C803" s="3">
        <v>6.0</v>
      </c>
      <c r="D803" s="3" t="s">
        <v>11</v>
      </c>
      <c r="E803" s="3">
        <v>10.57</v>
      </c>
      <c r="F803" s="3">
        <v>12.34</v>
      </c>
      <c r="G803" s="3">
        <v>85.7</v>
      </c>
    </row>
    <row r="804">
      <c r="A804" s="2">
        <v>40725.0</v>
      </c>
      <c r="B804" s="3">
        <v>2011.0</v>
      </c>
      <c r="C804" s="3">
        <v>7.0</v>
      </c>
      <c r="D804" s="3" t="s">
        <v>11</v>
      </c>
      <c r="E804" s="3">
        <v>10.35</v>
      </c>
      <c r="F804" s="3">
        <v>12.23</v>
      </c>
      <c r="G804" s="3">
        <v>84.7</v>
      </c>
    </row>
    <row r="805">
      <c r="A805" s="2">
        <v>40756.0</v>
      </c>
      <c r="B805" s="3">
        <v>2011.0</v>
      </c>
      <c r="C805" s="3">
        <v>8.0</v>
      </c>
      <c r="D805" s="3" t="s">
        <v>11</v>
      </c>
      <c r="E805" s="3">
        <v>10.7</v>
      </c>
      <c r="F805" s="3">
        <v>12.44</v>
      </c>
      <c r="G805" s="3">
        <v>86.0</v>
      </c>
    </row>
    <row r="806">
      <c r="A806" s="2">
        <v>40787.0</v>
      </c>
      <c r="B806" s="3">
        <v>2011.0</v>
      </c>
      <c r="C806" s="3">
        <v>9.0</v>
      </c>
      <c r="D806" s="3" t="s">
        <v>11</v>
      </c>
      <c r="E806" s="3">
        <v>11.6</v>
      </c>
      <c r="F806" s="3">
        <v>14.51</v>
      </c>
      <c r="G806" s="3">
        <v>80.0</v>
      </c>
    </row>
    <row r="807">
      <c r="A807" s="4">
        <v>40817.0</v>
      </c>
      <c r="B807" s="3">
        <v>2011.0</v>
      </c>
      <c r="C807" s="3">
        <v>10.0</v>
      </c>
      <c r="D807" s="3" t="s">
        <v>11</v>
      </c>
      <c r="E807" s="3">
        <v>11.86</v>
      </c>
      <c r="F807" s="3">
        <v>14.2</v>
      </c>
      <c r="G807" s="3">
        <v>83.6</v>
      </c>
    </row>
    <row r="808">
      <c r="A808" s="4">
        <v>40848.0</v>
      </c>
      <c r="B808" s="3">
        <v>2011.0</v>
      </c>
      <c r="C808" s="3">
        <v>11.0</v>
      </c>
      <c r="D808" s="3" t="s">
        <v>11</v>
      </c>
      <c r="E808" s="3">
        <v>13.11</v>
      </c>
      <c r="F808" s="3">
        <v>16.02</v>
      </c>
      <c r="G808" s="3">
        <v>81.9</v>
      </c>
    </row>
    <row r="809">
      <c r="A809" s="4">
        <v>40878.0</v>
      </c>
      <c r="B809" s="3">
        <v>2011.0</v>
      </c>
      <c r="C809" s="3">
        <v>12.0</v>
      </c>
      <c r="D809" s="3" t="s">
        <v>11</v>
      </c>
      <c r="E809" s="3">
        <v>13.22</v>
      </c>
      <c r="F809" s="3">
        <v>15.83</v>
      </c>
      <c r="G809" s="3">
        <v>83.5</v>
      </c>
    </row>
    <row r="810">
      <c r="A810" s="2">
        <v>40909.0</v>
      </c>
      <c r="B810" s="3">
        <v>2012.0</v>
      </c>
      <c r="C810" s="3">
        <v>1.0</v>
      </c>
      <c r="D810" s="3" t="s">
        <v>11</v>
      </c>
      <c r="E810" s="3">
        <v>13.47</v>
      </c>
      <c r="F810" s="3">
        <v>16.97</v>
      </c>
      <c r="G810" s="3">
        <v>79.4</v>
      </c>
    </row>
    <row r="811">
      <c r="A811" s="2">
        <v>40940.0</v>
      </c>
      <c r="B811" s="3">
        <v>2012.0</v>
      </c>
      <c r="C811" s="3">
        <v>2.0</v>
      </c>
      <c r="D811" s="3" t="s">
        <v>11</v>
      </c>
      <c r="E811" s="3">
        <v>12.99</v>
      </c>
      <c r="F811" s="3">
        <v>15.75</v>
      </c>
      <c r="G811" s="3">
        <v>82.5</v>
      </c>
    </row>
    <row r="812">
      <c r="A812" s="2">
        <v>40969.0</v>
      </c>
      <c r="B812" s="3">
        <v>2012.0</v>
      </c>
      <c r="C812" s="3">
        <v>3.0</v>
      </c>
      <c r="D812" s="3" t="s">
        <v>11</v>
      </c>
      <c r="E812" s="3">
        <v>13.39</v>
      </c>
      <c r="F812" s="3">
        <v>15.72</v>
      </c>
      <c r="G812" s="3">
        <v>85.2</v>
      </c>
    </row>
    <row r="813">
      <c r="A813" s="2">
        <v>41000.0</v>
      </c>
      <c r="B813" s="3">
        <v>2012.0</v>
      </c>
      <c r="C813" s="3">
        <v>4.0</v>
      </c>
      <c r="D813" s="3" t="s">
        <v>11</v>
      </c>
      <c r="E813" s="3">
        <v>12.64</v>
      </c>
      <c r="F813" s="3">
        <v>15.31</v>
      </c>
      <c r="G813" s="3">
        <v>82.6</v>
      </c>
    </row>
    <row r="814">
      <c r="A814" s="2">
        <v>41030.0</v>
      </c>
      <c r="B814" s="3">
        <v>2012.0</v>
      </c>
      <c r="C814" s="3">
        <v>5.0</v>
      </c>
      <c r="D814" s="3" t="s">
        <v>11</v>
      </c>
      <c r="E814" s="3">
        <v>12.05</v>
      </c>
      <c r="F814" s="3">
        <v>14.94</v>
      </c>
      <c r="G814" s="3">
        <v>80.7</v>
      </c>
    </row>
    <row r="815">
      <c r="A815" s="2">
        <v>41061.0</v>
      </c>
      <c r="B815" s="3">
        <v>2012.0</v>
      </c>
      <c r="C815" s="3">
        <v>6.0</v>
      </c>
      <c r="D815" s="3" t="s">
        <v>11</v>
      </c>
      <c r="E815" s="3">
        <v>11.32</v>
      </c>
      <c r="F815" s="3">
        <v>14.09</v>
      </c>
      <c r="G815" s="3">
        <v>80.4</v>
      </c>
    </row>
    <row r="816">
      <c r="A816" s="2">
        <v>41091.0</v>
      </c>
      <c r="B816" s="3">
        <v>2012.0</v>
      </c>
      <c r="C816" s="3">
        <v>7.0</v>
      </c>
      <c r="D816" s="3" t="s">
        <v>11</v>
      </c>
      <c r="E816" s="3">
        <v>10.84</v>
      </c>
      <c r="F816" s="3">
        <v>13.11</v>
      </c>
      <c r="G816" s="3">
        <v>82.7</v>
      </c>
    </row>
    <row r="817">
      <c r="A817" s="2">
        <v>41122.0</v>
      </c>
      <c r="B817" s="3">
        <v>2012.0</v>
      </c>
      <c r="C817" s="3">
        <v>8.0</v>
      </c>
      <c r="D817" s="3" t="s">
        <v>11</v>
      </c>
      <c r="E817" s="3">
        <v>11.53</v>
      </c>
      <c r="F817" s="3">
        <v>13.83</v>
      </c>
      <c r="G817" s="3">
        <v>83.4</v>
      </c>
    </row>
    <row r="818">
      <c r="A818" s="2">
        <v>41153.0</v>
      </c>
      <c r="B818" s="3">
        <v>2012.0</v>
      </c>
      <c r="C818" s="3">
        <v>9.0</v>
      </c>
      <c r="D818" s="3" t="s">
        <v>11</v>
      </c>
      <c r="E818" s="3">
        <v>12.17</v>
      </c>
      <c r="F818" s="3">
        <v>14.75</v>
      </c>
      <c r="G818" s="3">
        <v>82.5</v>
      </c>
    </row>
    <row r="819">
      <c r="A819" s="4">
        <v>41183.0</v>
      </c>
      <c r="B819" s="3">
        <v>2012.0</v>
      </c>
      <c r="C819" s="3">
        <v>10.0</v>
      </c>
      <c r="D819" s="3" t="s">
        <v>11</v>
      </c>
      <c r="E819" s="3">
        <v>12.86</v>
      </c>
      <c r="F819" s="3">
        <v>15.7</v>
      </c>
      <c r="G819" s="3">
        <v>81.9</v>
      </c>
    </row>
    <row r="820">
      <c r="A820" s="4">
        <v>41214.0</v>
      </c>
      <c r="B820" s="3">
        <v>2012.0</v>
      </c>
      <c r="C820" s="3">
        <v>11.0</v>
      </c>
      <c r="D820" s="3" t="s">
        <v>11</v>
      </c>
      <c r="E820" s="3">
        <v>13.5</v>
      </c>
      <c r="F820" s="3">
        <v>16.76</v>
      </c>
      <c r="G820" s="3">
        <v>80.5</v>
      </c>
    </row>
    <row r="821">
      <c r="A821" s="4">
        <v>41244.0</v>
      </c>
      <c r="B821" s="3">
        <v>2012.0</v>
      </c>
      <c r="C821" s="3">
        <v>12.0</v>
      </c>
      <c r="D821" s="3" t="s">
        <v>11</v>
      </c>
      <c r="E821" s="3">
        <v>14.01</v>
      </c>
      <c r="F821" s="3">
        <v>16.81</v>
      </c>
      <c r="G821" s="3">
        <v>83.3</v>
      </c>
    </row>
    <row r="822">
      <c r="A822" s="2">
        <v>41275.0</v>
      </c>
      <c r="B822" s="3">
        <v>2013.0</v>
      </c>
      <c r="C822" s="3">
        <v>1.0</v>
      </c>
      <c r="D822" s="3" t="s">
        <v>11</v>
      </c>
      <c r="E822" s="3">
        <v>13.8</v>
      </c>
      <c r="F822" s="3">
        <v>16.81</v>
      </c>
      <c r="G822" s="3">
        <v>82.1</v>
      </c>
    </row>
    <row r="823">
      <c r="A823" s="2">
        <v>41306.0</v>
      </c>
      <c r="B823" s="3">
        <v>2013.0</v>
      </c>
      <c r="C823" s="3">
        <v>2.0</v>
      </c>
      <c r="D823" s="3" t="s">
        <v>11</v>
      </c>
      <c r="E823" s="3">
        <v>13.7</v>
      </c>
      <c r="F823" s="3">
        <v>16.93</v>
      </c>
      <c r="G823" s="3">
        <v>80.9</v>
      </c>
    </row>
    <row r="824">
      <c r="A824" s="2">
        <v>41334.0</v>
      </c>
      <c r="B824" s="3">
        <v>2013.0</v>
      </c>
      <c r="C824" s="3">
        <v>3.0</v>
      </c>
      <c r="D824" s="3" t="s">
        <v>11</v>
      </c>
      <c r="E824" s="3">
        <v>13.1</v>
      </c>
      <c r="F824" s="3">
        <v>15.49</v>
      </c>
      <c r="G824" s="3">
        <v>84.5</v>
      </c>
    </row>
    <row r="825">
      <c r="A825" s="2">
        <v>41365.0</v>
      </c>
      <c r="B825" s="3">
        <v>2013.0</v>
      </c>
      <c r="C825" s="3">
        <v>4.0</v>
      </c>
      <c r="D825" s="3" t="s">
        <v>11</v>
      </c>
      <c r="E825" s="3">
        <v>13.37</v>
      </c>
      <c r="F825" s="3">
        <v>16.09</v>
      </c>
      <c r="G825" s="3">
        <v>83.1</v>
      </c>
    </row>
    <row r="826">
      <c r="A826" s="2">
        <v>41395.0</v>
      </c>
      <c r="B826" s="3">
        <v>2013.0</v>
      </c>
      <c r="C826" s="3">
        <v>5.0</v>
      </c>
      <c r="D826" s="3" t="s">
        <v>11</v>
      </c>
      <c r="E826" s="3">
        <v>13.1</v>
      </c>
      <c r="F826" s="3">
        <v>16.05</v>
      </c>
      <c r="G826" s="3">
        <v>81.6</v>
      </c>
    </row>
    <row r="827">
      <c r="A827" s="2">
        <v>41426.0</v>
      </c>
      <c r="B827" s="3">
        <v>2013.0</v>
      </c>
      <c r="C827" s="3">
        <v>6.0</v>
      </c>
      <c r="D827" s="3" t="s">
        <v>11</v>
      </c>
      <c r="E827" s="3">
        <v>13.05</v>
      </c>
      <c r="F827" s="3">
        <v>16.01</v>
      </c>
      <c r="G827" s="3">
        <v>81.5</v>
      </c>
    </row>
    <row r="828">
      <c r="A828" s="2">
        <v>41456.0</v>
      </c>
      <c r="B828" s="3">
        <v>2013.0</v>
      </c>
      <c r="C828" s="3">
        <v>7.0</v>
      </c>
      <c r="D828" s="3" t="s">
        <v>11</v>
      </c>
      <c r="E828" s="3">
        <v>11.88</v>
      </c>
      <c r="F828" s="3">
        <v>14.63</v>
      </c>
      <c r="G828" s="3">
        <v>81.2</v>
      </c>
    </row>
    <row r="829">
      <c r="A829" s="2">
        <v>41487.0</v>
      </c>
      <c r="B829" s="3">
        <v>2013.0</v>
      </c>
      <c r="C829" s="3">
        <v>8.0</v>
      </c>
      <c r="D829" s="3" t="s">
        <v>11</v>
      </c>
      <c r="E829" s="3">
        <v>12.15</v>
      </c>
      <c r="F829" s="3">
        <v>14.52</v>
      </c>
      <c r="G829" s="3">
        <v>83.7</v>
      </c>
    </row>
    <row r="830">
      <c r="A830" s="2">
        <v>41518.0</v>
      </c>
      <c r="B830" s="3">
        <v>2013.0</v>
      </c>
      <c r="C830" s="3">
        <v>9.0</v>
      </c>
      <c r="D830" s="3" t="s">
        <v>11</v>
      </c>
      <c r="E830" s="3">
        <v>12.5</v>
      </c>
      <c r="F830" s="3">
        <v>14.61</v>
      </c>
      <c r="G830" s="3">
        <v>85.6</v>
      </c>
    </row>
    <row r="831">
      <c r="A831" s="4">
        <v>41548.0</v>
      </c>
      <c r="B831" s="3">
        <v>2013.0</v>
      </c>
      <c r="C831" s="3">
        <v>10.0</v>
      </c>
      <c r="D831" s="3" t="s">
        <v>11</v>
      </c>
      <c r="E831" s="3">
        <v>13.35</v>
      </c>
      <c r="F831" s="3">
        <v>16.17</v>
      </c>
      <c r="G831" s="3">
        <v>82.5</v>
      </c>
    </row>
    <row r="832">
      <c r="A832" s="4">
        <v>41579.0</v>
      </c>
      <c r="B832" s="3">
        <v>2013.0</v>
      </c>
      <c r="C832" s="3">
        <v>11.0</v>
      </c>
      <c r="D832" s="3" t="s">
        <v>11</v>
      </c>
      <c r="E832" s="3">
        <v>13.59</v>
      </c>
      <c r="F832" s="3">
        <v>16.4</v>
      </c>
      <c r="G832" s="3">
        <v>82.8</v>
      </c>
    </row>
    <row r="833">
      <c r="A833" s="4">
        <v>41609.0</v>
      </c>
      <c r="B833" s="3">
        <v>2013.0</v>
      </c>
      <c r="C833" s="3">
        <v>12.0</v>
      </c>
      <c r="D833" s="3" t="s">
        <v>11</v>
      </c>
      <c r="E833" s="3">
        <v>14.45</v>
      </c>
      <c r="F833" s="3">
        <v>17.88</v>
      </c>
      <c r="G833" s="3">
        <v>80.8</v>
      </c>
    </row>
    <row r="834">
      <c r="A834" s="2">
        <v>41640.0</v>
      </c>
      <c r="B834" s="3">
        <v>2014.0</v>
      </c>
      <c r="C834" s="3">
        <v>1.0</v>
      </c>
      <c r="D834" s="3" t="s">
        <v>11</v>
      </c>
      <c r="E834" s="3">
        <v>14.4</v>
      </c>
      <c r="F834" s="3">
        <v>16.49</v>
      </c>
      <c r="G834" s="3">
        <v>87.3</v>
      </c>
    </row>
    <row r="835">
      <c r="A835" s="2">
        <v>41671.0</v>
      </c>
      <c r="B835" s="3">
        <v>2014.0</v>
      </c>
      <c r="C835" s="3">
        <v>2.0</v>
      </c>
      <c r="D835" s="3" t="s">
        <v>11</v>
      </c>
      <c r="E835" s="3">
        <v>14.5</v>
      </c>
      <c r="F835" s="3">
        <v>18.33</v>
      </c>
      <c r="G835" s="3">
        <v>79.1</v>
      </c>
    </row>
    <row r="836">
      <c r="A836" s="2">
        <v>41699.0</v>
      </c>
      <c r="B836" s="3">
        <v>2014.0</v>
      </c>
      <c r="C836" s="3">
        <v>3.0</v>
      </c>
      <c r="D836" s="3" t="s">
        <v>11</v>
      </c>
      <c r="E836" s="3">
        <v>13.88</v>
      </c>
      <c r="F836" s="3">
        <v>16.95</v>
      </c>
      <c r="G836" s="3">
        <v>81.9</v>
      </c>
    </row>
    <row r="837">
      <c r="A837" s="2">
        <v>41730.0</v>
      </c>
      <c r="B837" s="3">
        <v>2014.0</v>
      </c>
      <c r="C837" s="3">
        <v>4.0</v>
      </c>
      <c r="D837" s="3" t="s">
        <v>11</v>
      </c>
      <c r="E837" s="3">
        <v>13.77</v>
      </c>
      <c r="F837" s="3">
        <v>16.57</v>
      </c>
      <c r="G837" s="3">
        <v>83.1</v>
      </c>
    </row>
    <row r="838">
      <c r="A838" s="2">
        <v>41760.0</v>
      </c>
      <c r="B838" s="3">
        <v>2014.0</v>
      </c>
      <c r="C838" s="3">
        <v>5.0</v>
      </c>
      <c r="D838" s="3" t="s">
        <v>11</v>
      </c>
      <c r="E838" s="3">
        <v>13.18</v>
      </c>
      <c r="F838" s="3">
        <v>16.34</v>
      </c>
      <c r="G838" s="3">
        <v>80.7</v>
      </c>
    </row>
    <row r="839">
      <c r="A839" s="2">
        <v>41791.0</v>
      </c>
      <c r="B839" s="3">
        <v>2014.0</v>
      </c>
      <c r="C839" s="3">
        <v>6.0</v>
      </c>
      <c r="D839" s="3" t="s">
        <v>11</v>
      </c>
      <c r="E839" s="3">
        <v>12.6</v>
      </c>
      <c r="F839" s="3">
        <v>15.7</v>
      </c>
      <c r="G839" s="3">
        <v>80.2</v>
      </c>
    </row>
    <row r="840">
      <c r="A840" s="2">
        <v>41821.0</v>
      </c>
      <c r="B840" s="3">
        <v>2014.0</v>
      </c>
      <c r="C840" s="3">
        <v>7.0</v>
      </c>
      <c r="D840" s="3" t="s">
        <v>11</v>
      </c>
      <c r="E840" s="3">
        <v>12.1</v>
      </c>
      <c r="F840" s="3">
        <v>15.1</v>
      </c>
      <c r="G840" s="3">
        <v>80.2</v>
      </c>
    </row>
    <row r="841">
      <c r="A841" s="2">
        <v>41852.0</v>
      </c>
      <c r="B841" s="3">
        <v>2014.0</v>
      </c>
      <c r="C841" s="3">
        <v>8.0</v>
      </c>
      <c r="D841" s="3" t="s">
        <v>11</v>
      </c>
      <c r="E841" s="3">
        <v>12.12</v>
      </c>
      <c r="F841" s="3">
        <v>14.41</v>
      </c>
      <c r="G841" s="3">
        <v>84.1</v>
      </c>
    </row>
    <row r="842">
      <c r="A842" s="2">
        <v>41883.0</v>
      </c>
      <c r="B842" s="3">
        <v>2014.0</v>
      </c>
      <c r="C842" s="3">
        <v>9.0</v>
      </c>
      <c r="D842" s="3" t="s">
        <v>11</v>
      </c>
      <c r="E842" s="3">
        <v>13.38</v>
      </c>
      <c r="F842" s="3">
        <v>15.94</v>
      </c>
      <c r="G842" s="3">
        <v>84.0</v>
      </c>
    </row>
    <row r="843">
      <c r="A843" s="4">
        <v>41913.0</v>
      </c>
      <c r="B843" s="3">
        <v>2014.0</v>
      </c>
      <c r="C843" s="3">
        <v>10.0</v>
      </c>
      <c r="D843" s="3" t="s">
        <v>11</v>
      </c>
      <c r="E843" s="3">
        <v>13.87</v>
      </c>
      <c r="F843" s="3">
        <v>16.6</v>
      </c>
      <c r="G843" s="3">
        <v>83.6</v>
      </c>
    </row>
    <row r="844">
      <c r="A844" s="4">
        <v>41944.0</v>
      </c>
      <c r="B844" s="3">
        <v>2014.0</v>
      </c>
      <c r="C844" s="3">
        <v>11.0</v>
      </c>
      <c r="D844" s="3" t="s">
        <v>11</v>
      </c>
      <c r="E844" s="3">
        <v>13.84</v>
      </c>
      <c r="F844" s="3">
        <v>16.53</v>
      </c>
      <c r="G844" s="3">
        <v>83.7</v>
      </c>
    </row>
    <row r="845">
      <c r="A845" s="4">
        <v>41974.0</v>
      </c>
      <c r="B845" s="3">
        <v>2014.0</v>
      </c>
      <c r="C845" s="3">
        <v>12.0</v>
      </c>
      <c r="D845" s="3" t="s">
        <v>11</v>
      </c>
      <c r="E845" s="3">
        <v>15.24</v>
      </c>
      <c r="F845" s="3">
        <v>18.3</v>
      </c>
      <c r="G845" s="3">
        <v>83.3</v>
      </c>
    </row>
    <row r="846">
      <c r="A846" s="2">
        <v>42005.0</v>
      </c>
      <c r="B846" s="3">
        <v>2015.0</v>
      </c>
      <c r="C846" s="3">
        <v>1.0</v>
      </c>
      <c r="D846" s="3" t="s">
        <v>11</v>
      </c>
      <c r="E846" s="3">
        <v>15.58</v>
      </c>
      <c r="F846" s="3">
        <v>19.46</v>
      </c>
      <c r="G846" s="3">
        <v>80.0</v>
      </c>
    </row>
    <row r="847">
      <c r="A847" s="2">
        <v>42036.0</v>
      </c>
      <c r="B847" s="3">
        <v>2015.0</v>
      </c>
      <c r="C847" s="3">
        <v>2.0</v>
      </c>
      <c r="D847" s="3" t="s">
        <v>11</v>
      </c>
      <c r="E847" s="3">
        <v>14.63</v>
      </c>
      <c r="F847" s="3">
        <v>18.16</v>
      </c>
      <c r="G847" s="3">
        <v>80.6</v>
      </c>
    </row>
    <row r="848">
      <c r="A848" s="2">
        <v>42064.0</v>
      </c>
      <c r="B848" s="3">
        <v>2015.0</v>
      </c>
      <c r="C848" s="3">
        <v>3.0</v>
      </c>
      <c r="D848" s="3" t="s">
        <v>11</v>
      </c>
      <c r="E848" s="3">
        <v>15.13</v>
      </c>
      <c r="F848" s="3">
        <v>18.14</v>
      </c>
      <c r="G848" s="3">
        <v>83.4</v>
      </c>
    </row>
    <row r="849">
      <c r="A849" s="2">
        <v>42095.0</v>
      </c>
      <c r="B849" s="3">
        <v>2015.0</v>
      </c>
      <c r="C849" s="3">
        <v>4.0</v>
      </c>
      <c r="D849" s="3" t="s">
        <v>11</v>
      </c>
      <c r="E849" s="3">
        <v>13.68</v>
      </c>
      <c r="F849" s="3">
        <v>17.09</v>
      </c>
      <c r="G849" s="3">
        <v>80.0</v>
      </c>
    </row>
    <row r="850">
      <c r="A850" s="2">
        <v>42125.0</v>
      </c>
      <c r="B850" s="3">
        <v>2015.0</v>
      </c>
      <c r="C850" s="3">
        <v>5.0</v>
      </c>
      <c r="D850" s="3" t="s">
        <v>11</v>
      </c>
      <c r="E850" s="3">
        <v>13.32</v>
      </c>
      <c r="F850" s="3">
        <v>16.39</v>
      </c>
      <c r="G850" s="3">
        <v>81.3</v>
      </c>
    </row>
    <row r="851">
      <c r="A851" s="2">
        <v>42156.0</v>
      </c>
      <c r="B851" s="3">
        <v>2015.0</v>
      </c>
      <c r="C851" s="3">
        <v>6.0</v>
      </c>
      <c r="D851" s="3" t="s">
        <v>11</v>
      </c>
      <c r="E851" s="3">
        <v>12.64</v>
      </c>
      <c r="F851" s="3">
        <v>15.97</v>
      </c>
      <c r="G851" s="3">
        <v>79.2</v>
      </c>
    </row>
    <row r="852">
      <c r="A852" s="2">
        <v>42186.0</v>
      </c>
      <c r="B852" s="3">
        <v>2015.0</v>
      </c>
      <c r="C852" s="3">
        <v>7.0</v>
      </c>
      <c r="D852" s="3" t="s">
        <v>11</v>
      </c>
      <c r="E852" s="3">
        <v>12.73</v>
      </c>
      <c r="F852" s="3">
        <v>15.49</v>
      </c>
      <c r="G852" s="3">
        <v>82.2</v>
      </c>
    </row>
    <row r="853">
      <c r="A853" s="2">
        <v>42217.0</v>
      </c>
      <c r="B853" s="3">
        <v>2015.0</v>
      </c>
      <c r="C853" s="3">
        <v>8.0</v>
      </c>
      <c r="D853" s="3" t="s">
        <v>11</v>
      </c>
      <c r="E853" s="3">
        <v>12.86</v>
      </c>
      <c r="F853" s="3">
        <v>15.72</v>
      </c>
      <c r="G853" s="3">
        <v>81.8</v>
      </c>
    </row>
    <row r="854">
      <c r="A854" s="2">
        <v>42248.0</v>
      </c>
      <c r="B854" s="3">
        <v>2015.0</v>
      </c>
      <c r="C854" s="3">
        <v>9.0</v>
      </c>
      <c r="D854" s="3" t="s">
        <v>11</v>
      </c>
      <c r="E854" s="3">
        <v>14.38</v>
      </c>
      <c r="F854" s="3">
        <v>18.12</v>
      </c>
      <c r="G854" s="3">
        <v>79.4</v>
      </c>
    </row>
    <row r="855">
      <c r="A855" s="4">
        <v>42278.0</v>
      </c>
      <c r="B855" s="3">
        <v>2015.0</v>
      </c>
      <c r="C855" s="3">
        <v>10.0</v>
      </c>
      <c r="D855" s="3" t="s">
        <v>11</v>
      </c>
      <c r="E855" s="3">
        <v>14.66</v>
      </c>
      <c r="F855" s="3">
        <v>17.44</v>
      </c>
      <c r="G855" s="3">
        <v>84.0</v>
      </c>
    </row>
    <row r="856">
      <c r="A856" s="4">
        <v>42309.0</v>
      </c>
      <c r="B856" s="3">
        <v>2015.0</v>
      </c>
      <c r="C856" s="3">
        <v>11.0</v>
      </c>
      <c r="D856" s="3" t="s">
        <v>11</v>
      </c>
      <c r="E856" s="3">
        <v>15.38</v>
      </c>
      <c r="F856" s="3">
        <v>19.02</v>
      </c>
      <c r="G856" s="3">
        <v>80.9</v>
      </c>
    </row>
    <row r="857">
      <c r="A857" s="4">
        <v>42339.0</v>
      </c>
      <c r="B857" s="3">
        <v>2015.0</v>
      </c>
      <c r="C857" s="3">
        <v>12.0</v>
      </c>
      <c r="D857" s="3" t="s">
        <v>11</v>
      </c>
      <c r="E857" s="3">
        <v>16.78</v>
      </c>
      <c r="F857" s="3">
        <v>20.62</v>
      </c>
      <c r="G857" s="3">
        <v>81.4</v>
      </c>
    </row>
    <row r="858">
      <c r="A858" s="2">
        <v>42370.0</v>
      </c>
      <c r="B858" s="3">
        <v>2016.0</v>
      </c>
      <c r="C858" s="3">
        <v>1.0</v>
      </c>
      <c r="D858" s="3" t="s">
        <v>11</v>
      </c>
      <c r="E858" s="3">
        <v>17.06</v>
      </c>
      <c r="F858" s="3">
        <v>20.58</v>
      </c>
      <c r="G858" s="3">
        <v>82.9</v>
      </c>
    </row>
    <row r="859">
      <c r="A859" s="2">
        <v>42401.0</v>
      </c>
      <c r="B859" s="3">
        <v>2016.0</v>
      </c>
      <c r="C859" s="3">
        <v>2.0</v>
      </c>
      <c r="D859" s="3" t="s">
        <v>11</v>
      </c>
      <c r="E859" s="3">
        <v>16.22</v>
      </c>
      <c r="F859" s="3">
        <v>19.55</v>
      </c>
      <c r="G859" s="3">
        <v>83.0</v>
      </c>
    </row>
    <row r="860">
      <c r="A860" s="2">
        <v>42430.0</v>
      </c>
      <c r="B860" s="3">
        <v>2016.0</v>
      </c>
      <c r="C860" s="3">
        <v>3.0</v>
      </c>
      <c r="D860" s="3" t="s">
        <v>11</v>
      </c>
      <c r="E860" s="3">
        <v>16.08</v>
      </c>
      <c r="F860" s="3">
        <v>19.13</v>
      </c>
      <c r="G860" s="3">
        <v>84.0</v>
      </c>
    </row>
    <row r="861">
      <c r="A861" s="2">
        <v>42461.0</v>
      </c>
      <c r="B861" s="3">
        <v>2016.0</v>
      </c>
      <c r="C861" s="3">
        <v>4.0</v>
      </c>
      <c r="D861" s="3" t="s">
        <v>11</v>
      </c>
      <c r="E861" s="3">
        <v>15.0</v>
      </c>
      <c r="F861" s="3">
        <v>18.28</v>
      </c>
      <c r="G861" s="3">
        <v>82.1</v>
      </c>
    </row>
    <row r="862">
      <c r="A862" s="2">
        <v>42491.0</v>
      </c>
      <c r="B862" s="3">
        <v>2016.0</v>
      </c>
      <c r="C862" s="3">
        <v>5.0</v>
      </c>
      <c r="D862" s="3" t="s">
        <v>11</v>
      </c>
      <c r="E862" s="3">
        <v>14.54</v>
      </c>
      <c r="F862" s="3">
        <v>17.43</v>
      </c>
      <c r="G862" s="3">
        <v>83.4</v>
      </c>
    </row>
    <row r="863">
      <c r="A863" s="2">
        <v>42522.0</v>
      </c>
      <c r="B863" s="3">
        <v>2016.0</v>
      </c>
      <c r="C863" s="3">
        <v>6.0</v>
      </c>
      <c r="D863" s="3" t="s">
        <v>11</v>
      </c>
      <c r="E863" s="3">
        <v>13.66</v>
      </c>
      <c r="F863" s="3">
        <v>16.25</v>
      </c>
      <c r="G863" s="3">
        <v>84.0</v>
      </c>
    </row>
    <row r="864">
      <c r="A864" s="2">
        <v>42552.0</v>
      </c>
      <c r="B864" s="3">
        <v>2016.0</v>
      </c>
      <c r="C864" s="3">
        <v>7.0</v>
      </c>
      <c r="D864" s="3" t="s">
        <v>11</v>
      </c>
      <c r="E864" s="3">
        <v>14.15</v>
      </c>
      <c r="F864" s="3">
        <v>17.82</v>
      </c>
      <c r="G864" s="3">
        <v>79.4</v>
      </c>
    </row>
    <row r="865">
      <c r="A865" s="2">
        <v>42583.0</v>
      </c>
      <c r="B865" s="3">
        <v>2016.0</v>
      </c>
      <c r="C865" s="3">
        <v>8.0</v>
      </c>
      <c r="D865" s="3" t="s">
        <v>11</v>
      </c>
      <c r="E865" s="3">
        <v>14.76</v>
      </c>
      <c r="F865" s="3">
        <v>17.07</v>
      </c>
      <c r="G865" s="3">
        <v>86.5</v>
      </c>
    </row>
    <row r="866">
      <c r="A866" s="2">
        <v>42614.0</v>
      </c>
      <c r="B866" s="3">
        <v>2016.0</v>
      </c>
      <c r="C866" s="3">
        <v>9.0</v>
      </c>
      <c r="D866" s="3" t="s">
        <v>11</v>
      </c>
      <c r="E866" s="3">
        <v>15.34</v>
      </c>
      <c r="F866" s="3">
        <v>18.08</v>
      </c>
      <c r="G866" s="3">
        <v>84.9</v>
      </c>
    </row>
    <row r="867">
      <c r="A867" s="4">
        <v>42644.0</v>
      </c>
      <c r="B867" s="3">
        <v>2016.0</v>
      </c>
      <c r="C867" s="3">
        <v>10.0</v>
      </c>
      <c r="D867" s="3" t="s">
        <v>11</v>
      </c>
      <c r="E867" s="3">
        <v>15.79</v>
      </c>
      <c r="F867" s="3">
        <v>20.07</v>
      </c>
      <c r="G867" s="3">
        <v>78.7</v>
      </c>
    </row>
    <row r="868">
      <c r="A868" s="4">
        <v>42675.0</v>
      </c>
      <c r="B868" s="3">
        <v>2016.0</v>
      </c>
      <c r="C868" s="3">
        <v>11.0</v>
      </c>
      <c r="D868" s="3" t="s">
        <v>11</v>
      </c>
      <c r="E868" s="3">
        <v>15.73</v>
      </c>
      <c r="F868" s="3">
        <v>19.06</v>
      </c>
      <c r="G868" s="3">
        <v>82.5</v>
      </c>
    </row>
    <row r="869">
      <c r="A869" s="4">
        <v>42705.0</v>
      </c>
      <c r="B869" s="3">
        <v>2016.0</v>
      </c>
      <c r="C869" s="3">
        <v>12.0</v>
      </c>
      <c r="D869" s="3" t="s">
        <v>11</v>
      </c>
      <c r="E869" s="3">
        <v>16.99</v>
      </c>
      <c r="F869" s="3">
        <v>21.19</v>
      </c>
      <c r="G869" s="3">
        <v>80.2</v>
      </c>
    </row>
    <row r="870">
      <c r="A870" s="2">
        <v>42736.0</v>
      </c>
      <c r="B870" s="3">
        <v>2017.0</v>
      </c>
      <c r="C870" s="3">
        <v>1.0</v>
      </c>
      <c r="D870" s="3" t="s">
        <v>11</v>
      </c>
      <c r="E870" s="3">
        <v>17.57</v>
      </c>
      <c r="F870" s="3">
        <v>21.11</v>
      </c>
      <c r="G870" s="3">
        <v>83.2</v>
      </c>
    </row>
    <row r="871">
      <c r="A871" s="2">
        <v>42767.0</v>
      </c>
      <c r="B871" s="3">
        <v>2017.0</v>
      </c>
      <c r="C871" s="3">
        <v>2.0</v>
      </c>
      <c r="D871" s="3" t="s">
        <v>11</v>
      </c>
      <c r="E871" s="3">
        <v>16.73</v>
      </c>
      <c r="F871" s="3">
        <v>20.63</v>
      </c>
      <c r="G871" s="3">
        <v>81.1</v>
      </c>
    </row>
    <row r="872">
      <c r="A872" s="2">
        <v>42795.0</v>
      </c>
      <c r="B872" s="3">
        <v>2017.0</v>
      </c>
      <c r="C872" s="3">
        <v>3.0</v>
      </c>
      <c r="D872" s="3" t="s">
        <v>11</v>
      </c>
      <c r="E872" s="3">
        <v>17.76</v>
      </c>
      <c r="F872" s="3">
        <v>22.24</v>
      </c>
      <c r="G872" s="3">
        <v>79.8</v>
      </c>
    </row>
    <row r="873">
      <c r="A873" s="2">
        <v>42826.0</v>
      </c>
      <c r="B873" s="3">
        <v>2017.0</v>
      </c>
      <c r="C873" s="3">
        <v>4.0</v>
      </c>
      <c r="D873" s="3" t="s">
        <v>11</v>
      </c>
      <c r="E873" s="3">
        <v>16.68</v>
      </c>
      <c r="F873" s="3">
        <v>20.58</v>
      </c>
      <c r="G873" s="3">
        <v>81.0</v>
      </c>
    </row>
    <row r="874">
      <c r="A874" s="2">
        <v>42856.0</v>
      </c>
      <c r="B874" s="3">
        <v>2017.0</v>
      </c>
      <c r="C874" s="3">
        <v>5.0</v>
      </c>
      <c r="D874" s="3" t="s">
        <v>11</v>
      </c>
      <c r="E874" s="3">
        <v>15.77</v>
      </c>
      <c r="F874" s="3">
        <v>18.73</v>
      </c>
      <c r="G874" s="3">
        <v>84.2</v>
      </c>
    </row>
    <row r="875">
      <c r="A875" s="2">
        <v>42887.0</v>
      </c>
      <c r="B875" s="3">
        <v>2017.0</v>
      </c>
      <c r="C875" s="3">
        <v>6.0</v>
      </c>
      <c r="D875" s="3" t="s">
        <v>11</v>
      </c>
      <c r="E875" s="3">
        <v>15.33</v>
      </c>
      <c r="F875" s="3">
        <v>18.29</v>
      </c>
      <c r="G875" s="3">
        <v>83.8</v>
      </c>
    </row>
    <row r="876">
      <c r="A876" s="2">
        <v>42917.0</v>
      </c>
      <c r="B876" s="3">
        <v>2017.0</v>
      </c>
      <c r="C876" s="3">
        <v>7.0</v>
      </c>
      <c r="D876" s="3" t="s">
        <v>11</v>
      </c>
      <c r="E876" s="3">
        <v>14.35</v>
      </c>
      <c r="F876" s="3">
        <v>17.03</v>
      </c>
      <c r="G876" s="3">
        <v>84.2</v>
      </c>
    </row>
    <row r="877">
      <c r="A877" s="2">
        <v>42948.0</v>
      </c>
      <c r="B877" s="3">
        <v>2017.0</v>
      </c>
      <c r="C877" s="3">
        <v>8.0</v>
      </c>
      <c r="D877" s="3" t="s">
        <v>11</v>
      </c>
      <c r="E877" s="3">
        <v>14.76</v>
      </c>
      <c r="F877" s="3">
        <v>17.89</v>
      </c>
      <c r="G877" s="3">
        <v>82.5</v>
      </c>
    </row>
    <row r="878">
      <c r="A878" s="2">
        <v>42979.0</v>
      </c>
      <c r="B878" s="3">
        <v>2017.0</v>
      </c>
      <c r="C878" s="3">
        <v>9.0</v>
      </c>
      <c r="D878" s="3" t="s">
        <v>11</v>
      </c>
      <c r="E878" s="3">
        <v>15.96</v>
      </c>
      <c r="F878" s="3">
        <v>19.23</v>
      </c>
      <c r="G878" s="3">
        <v>83.0</v>
      </c>
    </row>
    <row r="879">
      <c r="A879" s="4">
        <v>43009.0</v>
      </c>
      <c r="B879" s="3">
        <v>2017.0</v>
      </c>
      <c r="C879" s="3">
        <v>10.0</v>
      </c>
      <c r="D879" s="3" t="s">
        <v>11</v>
      </c>
      <c r="E879" s="3">
        <v>16.92</v>
      </c>
      <c r="F879" s="3">
        <v>21.07</v>
      </c>
      <c r="G879" s="3">
        <v>80.3</v>
      </c>
    </row>
    <row r="880">
      <c r="A880" s="4">
        <v>43040.0</v>
      </c>
      <c r="B880" s="3">
        <v>2017.0</v>
      </c>
      <c r="C880" s="3">
        <v>11.0</v>
      </c>
      <c r="D880" s="3" t="s">
        <v>11</v>
      </c>
      <c r="E880" s="3">
        <v>16.97</v>
      </c>
      <c r="F880" s="3">
        <v>20.27</v>
      </c>
      <c r="G880" s="3">
        <v>83.7</v>
      </c>
    </row>
    <row r="881">
      <c r="A881" s="4">
        <v>43070.0</v>
      </c>
      <c r="B881" s="3">
        <v>2017.0</v>
      </c>
      <c r="C881" s="3">
        <v>12.0</v>
      </c>
      <c r="D881" s="3" t="s">
        <v>11</v>
      </c>
      <c r="E881" s="3">
        <v>18.48</v>
      </c>
      <c r="F881" s="3">
        <v>21.93</v>
      </c>
      <c r="G881" s="3">
        <v>84.3</v>
      </c>
    </row>
    <row r="882">
      <c r="A882" s="2">
        <v>43101.0</v>
      </c>
      <c r="B882" s="3">
        <v>2018.0</v>
      </c>
      <c r="C882" s="3">
        <v>1.0</v>
      </c>
      <c r="D882" s="3" t="s">
        <v>11</v>
      </c>
      <c r="E882" s="3">
        <v>18.67</v>
      </c>
      <c r="F882" s="3">
        <v>23.58</v>
      </c>
      <c r="G882" s="3">
        <v>79.2</v>
      </c>
    </row>
    <row r="883">
      <c r="A883" s="2">
        <v>43132.0</v>
      </c>
      <c r="B883" s="3">
        <v>2018.0</v>
      </c>
      <c r="C883" s="3">
        <v>2.0</v>
      </c>
      <c r="D883" s="3" t="s">
        <v>11</v>
      </c>
      <c r="E883" s="3">
        <v>19.11</v>
      </c>
      <c r="F883" s="3">
        <v>23.52</v>
      </c>
      <c r="G883" s="3">
        <v>81.3</v>
      </c>
    </row>
    <row r="884">
      <c r="A884" s="2">
        <v>43160.0</v>
      </c>
      <c r="B884" s="3">
        <v>2018.0</v>
      </c>
      <c r="C884" s="3">
        <v>3.0</v>
      </c>
      <c r="D884" s="3" t="s">
        <v>11</v>
      </c>
      <c r="E884" s="3">
        <v>18.21</v>
      </c>
      <c r="F884" s="3">
        <v>22.56</v>
      </c>
      <c r="G884" s="3">
        <v>80.7</v>
      </c>
    </row>
    <row r="885">
      <c r="A885" s="2">
        <v>43191.0</v>
      </c>
      <c r="B885" s="3">
        <v>2018.0</v>
      </c>
      <c r="C885" s="3">
        <v>4.0</v>
      </c>
      <c r="D885" s="3" t="s">
        <v>11</v>
      </c>
      <c r="E885" s="3">
        <v>18.12</v>
      </c>
      <c r="F885" s="3">
        <v>22.58</v>
      </c>
      <c r="G885" s="3">
        <v>80.2</v>
      </c>
    </row>
    <row r="886">
      <c r="A886" s="2">
        <v>43221.0</v>
      </c>
      <c r="B886" s="3">
        <v>2018.0</v>
      </c>
      <c r="C886" s="3">
        <v>5.0</v>
      </c>
      <c r="D886" s="3" t="s">
        <v>11</v>
      </c>
      <c r="E886" s="3">
        <v>16.3</v>
      </c>
      <c r="F886" s="3">
        <v>19.83</v>
      </c>
      <c r="G886" s="3">
        <v>82.2</v>
      </c>
    </row>
    <row r="887">
      <c r="A887" s="2">
        <v>43252.0</v>
      </c>
      <c r="B887" s="3">
        <v>2018.0</v>
      </c>
      <c r="C887" s="3">
        <v>6.0</v>
      </c>
      <c r="D887" s="3" t="s">
        <v>11</v>
      </c>
      <c r="E887" s="3">
        <v>15.4</v>
      </c>
      <c r="F887" s="3">
        <v>18.62</v>
      </c>
      <c r="G887" s="3">
        <v>82.7</v>
      </c>
    </row>
    <row r="888">
      <c r="A888" s="2">
        <v>43282.0</v>
      </c>
      <c r="B888" s="3">
        <v>2018.0</v>
      </c>
      <c r="C888" s="3">
        <v>7.0</v>
      </c>
      <c r="D888" s="3" t="s">
        <v>11</v>
      </c>
      <c r="E888" s="3">
        <v>16.53</v>
      </c>
      <c r="F888" s="3">
        <v>20.4</v>
      </c>
      <c r="G888" s="3">
        <v>81.0</v>
      </c>
    </row>
    <row r="889">
      <c r="A889" s="2">
        <v>43313.0</v>
      </c>
      <c r="B889" s="3">
        <v>2018.0</v>
      </c>
      <c r="C889" s="3">
        <v>8.0</v>
      </c>
      <c r="D889" s="3" t="s">
        <v>11</v>
      </c>
      <c r="E889" s="3">
        <v>16.25</v>
      </c>
      <c r="F889" s="3">
        <v>21.24</v>
      </c>
      <c r="G889" s="3">
        <v>76.5</v>
      </c>
    </row>
    <row r="890">
      <c r="A890" s="2">
        <v>43344.0</v>
      </c>
      <c r="B890" s="3">
        <v>2018.0</v>
      </c>
      <c r="C890" s="3">
        <v>9.0</v>
      </c>
      <c r="D890" s="3" t="s">
        <v>11</v>
      </c>
      <c r="E890" s="3">
        <v>16.76</v>
      </c>
      <c r="F890" s="3">
        <v>20.6</v>
      </c>
      <c r="G890" s="3">
        <v>81.4</v>
      </c>
    </row>
    <row r="891">
      <c r="A891" s="4">
        <v>43374.0</v>
      </c>
      <c r="B891" s="3">
        <v>2018.0</v>
      </c>
      <c r="C891" s="3">
        <v>10.0</v>
      </c>
      <c r="D891" s="3" t="s">
        <v>11</v>
      </c>
      <c r="E891" s="3">
        <v>17.32</v>
      </c>
      <c r="F891" s="3">
        <v>20.58</v>
      </c>
      <c r="G891" s="3">
        <v>84.2</v>
      </c>
    </row>
    <row r="892">
      <c r="A892" s="4">
        <v>43405.0</v>
      </c>
      <c r="B892" s="3">
        <v>2018.0</v>
      </c>
      <c r="C892" s="3">
        <v>11.0</v>
      </c>
      <c r="D892" s="3" t="s">
        <v>11</v>
      </c>
      <c r="E892" s="3">
        <v>18.54</v>
      </c>
      <c r="F892" s="3">
        <v>22.71</v>
      </c>
      <c r="G892" s="3">
        <v>81.6</v>
      </c>
    </row>
    <row r="893">
      <c r="A893" s="4">
        <v>43435.0</v>
      </c>
      <c r="B893" s="3">
        <v>2018.0</v>
      </c>
      <c r="C893" s="3">
        <v>12.0</v>
      </c>
      <c r="D893" s="3" t="s">
        <v>11</v>
      </c>
      <c r="E893" s="3">
        <v>19.25</v>
      </c>
      <c r="F893" s="3">
        <v>24.63</v>
      </c>
      <c r="G893" s="3">
        <v>78.2</v>
      </c>
    </row>
    <row r="894">
      <c r="A894" s="2">
        <v>43466.0</v>
      </c>
      <c r="B894" s="3">
        <v>2019.0</v>
      </c>
      <c r="C894" s="3">
        <v>1.0</v>
      </c>
      <c r="D894" s="3" t="s">
        <v>11</v>
      </c>
      <c r="E894" s="3">
        <v>19.14</v>
      </c>
      <c r="F894" s="3">
        <v>22.81</v>
      </c>
      <c r="G894" s="3">
        <v>83.9</v>
      </c>
    </row>
    <row r="895">
      <c r="A895" s="2">
        <v>43497.0</v>
      </c>
      <c r="B895" s="3">
        <v>2019.0</v>
      </c>
      <c r="C895" s="3">
        <v>2.0</v>
      </c>
      <c r="D895" s="3" t="s">
        <v>11</v>
      </c>
      <c r="E895" s="3">
        <v>17.42</v>
      </c>
      <c r="F895" s="3">
        <v>21.65</v>
      </c>
      <c r="G895" s="3">
        <v>80.5</v>
      </c>
    </row>
    <row r="896">
      <c r="A896" s="2">
        <v>43525.0</v>
      </c>
      <c r="B896" s="3">
        <v>2019.0</v>
      </c>
      <c r="C896" s="3">
        <v>3.0</v>
      </c>
      <c r="D896" s="3" t="s">
        <v>11</v>
      </c>
      <c r="E896" s="3">
        <v>16.77</v>
      </c>
      <c r="F896" s="3">
        <v>19.62</v>
      </c>
      <c r="G896" s="3">
        <v>85.5</v>
      </c>
    </row>
    <row r="897">
      <c r="A897" s="2">
        <v>43556.0</v>
      </c>
      <c r="B897" s="3">
        <v>2019.0</v>
      </c>
      <c r="C897" s="3">
        <v>4.0</v>
      </c>
      <c r="D897" s="3" t="s">
        <v>11</v>
      </c>
      <c r="E897" s="3">
        <v>15.61</v>
      </c>
      <c r="F897" s="3">
        <v>19.29</v>
      </c>
      <c r="G897" s="3">
        <v>80.9</v>
      </c>
    </row>
    <row r="898">
      <c r="A898" s="2">
        <v>43586.0</v>
      </c>
      <c r="B898" s="3">
        <v>2019.0</v>
      </c>
      <c r="C898" s="3">
        <v>5.0</v>
      </c>
      <c r="D898" s="3" t="s">
        <v>11</v>
      </c>
      <c r="E898" s="3">
        <v>14.16</v>
      </c>
      <c r="F898" s="3">
        <v>17.59</v>
      </c>
      <c r="G898" s="3">
        <v>80.5</v>
      </c>
    </row>
    <row r="899">
      <c r="A899" s="2">
        <v>43617.0</v>
      </c>
      <c r="B899" s="3">
        <v>2019.0</v>
      </c>
      <c r="C899" s="3">
        <v>6.0</v>
      </c>
      <c r="D899" s="3" t="s">
        <v>11</v>
      </c>
      <c r="E899" s="3">
        <v>12.63</v>
      </c>
      <c r="F899" s="3">
        <v>15.93</v>
      </c>
      <c r="G899" s="3">
        <v>79.3</v>
      </c>
    </row>
    <row r="900">
      <c r="A900" s="2">
        <v>43647.0</v>
      </c>
      <c r="B900" s="3">
        <v>2019.0</v>
      </c>
      <c r="C900" s="3">
        <v>7.0</v>
      </c>
      <c r="D900" s="3" t="s">
        <v>11</v>
      </c>
      <c r="E900" s="3">
        <v>11.62</v>
      </c>
      <c r="F900" s="3">
        <v>14.31</v>
      </c>
      <c r="G900" s="3">
        <v>81.2</v>
      </c>
    </row>
    <row r="901">
      <c r="A901" s="2">
        <v>43678.0</v>
      </c>
      <c r="B901" s="3">
        <v>2019.0</v>
      </c>
      <c r="C901" s="3">
        <v>8.0</v>
      </c>
      <c r="D901" s="3" t="s">
        <v>11</v>
      </c>
      <c r="E901" s="3">
        <v>10.26</v>
      </c>
      <c r="F901" s="3">
        <v>12.58</v>
      </c>
      <c r="G901" s="3">
        <v>81.6</v>
      </c>
    </row>
    <row r="902">
      <c r="A902" s="2">
        <v>43709.0</v>
      </c>
      <c r="B902" s="3">
        <v>2019.0</v>
      </c>
      <c r="C902" s="3">
        <v>9.0</v>
      </c>
      <c r="D902" s="3" t="s">
        <v>11</v>
      </c>
      <c r="E902" s="3">
        <v>10.22</v>
      </c>
      <c r="F902" s="3">
        <v>12.61</v>
      </c>
      <c r="G902" s="3">
        <v>81.0</v>
      </c>
    </row>
    <row r="903">
      <c r="A903" s="4">
        <v>43739.0</v>
      </c>
      <c r="B903" s="3">
        <v>2019.0</v>
      </c>
      <c r="C903" s="3">
        <v>10.0</v>
      </c>
      <c r="D903" s="3" t="s">
        <v>11</v>
      </c>
      <c r="E903" s="3">
        <v>9.91</v>
      </c>
      <c r="F903" s="3">
        <v>12.26</v>
      </c>
      <c r="G903" s="3">
        <v>80.8</v>
      </c>
    </row>
    <row r="904">
      <c r="A904" s="4">
        <v>43770.0</v>
      </c>
      <c r="B904" s="3">
        <v>2019.0</v>
      </c>
      <c r="C904" s="3">
        <v>11.0</v>
      </c>
      <c r="D904" s="3" t="s">
        <v>11</v>
      </c>
      <c r="E904" s="3">
        <v>9.45</v>
      </c>
      <c r="F904" s="3">
        <v>11.4</v>
      </c>
      <c r="G904" s="3">
        <v>82.9</v>
      </c>
    </row>
    <row r="905">
      <c r="A905" s="4">
        <v>43800.0</v>
      </c>
      <c r="B905" s="3">
        <v>2019.0</v>
      </c>
      <c r="C905" s="3">
        <v>12.0</v>
      </c>
      <c r="D905" s="3" t="s">
        <v>11</v>
      </c>
      <c r="E905" s="3">
        <v>8.59</v>
      </c>
      <c r="F905" s="3">
        <v>10.59</v>
      </c>
      <c r="G905" s="3">
        <v>81.1</v>
      </c>
    </row>
    <row r="906">
      <c r="A906" s="2">
        <v>43831.0</v>
      </c>
      <c r="B906" s="3">
        <v>2020.0</v>
      </c>
      <c r="C906" s="3">
        <v>1.0</v>
      </c>
      <c r="D906" s="3" t="s">
        <v>11</v>
      </c>
      <c r="E906" s="3">
        <v>7.74</v>
      </c>
      <c r="F906" s="3">
        <v>9.31</v>
      </c>
      <c r="G906" s="3">
        <v>83.1</v>
      </c>
    </row>
    <row r="907">
      <c r="A907" s="2">
        <v>43862.0</v>
      </c>
      <c r="B907" s="3">
        <v>2020.0</v>
      </c>
      <c r="C907" s="3">
        <v>2.0</v>
      </c>
      <c r="D907" s="3" t="s">
        <v>11</v>
      </c>
      <c r="E907" s="3">
        <v>8.38</v>
      </c>
      <c r="F907" s="3">
        <v>9.99</v>
      </c>
      <c r="G907" s="3">
        <v>83.9</v>
      </c>
    </row>
    <row r="908">
      <c r="A908" s="2">
        <v>43891.0</v>
      </c>
      <c r="B908" s="3">
        <v>2020.0</v>
      </c>
      <c r="C908" s="3">
        <v>3.0</v>
      </c>
      <c r="D908" s="3" t="s">
        <v>11</v>
      </c>
      <c r="E908" s="3">
        <v>1.22</v>
      </c>
      <c r="F908" s="3">
        <v>2.21</v>
      </c>
      <c r="G908" s="3">
        <v>55.0</v>
      </c>
    </row>
    <row r="909">
      <c r="A909" s="2">
        <v>43922.0</v>
      </c>
      <c r="B909" s="3">
        <v>2020.0</v>
      </c>
      <c r="C909" s="3">
        <v>4.0</v>
      </c>
      <c r="D909" s="3" t="s">
        <v>11</v>
      </c>
      <c r="E909" s="3">
        <v>1.18</v>
      </c>
      <c r="F909" s="3">
        <v>2.15</v>
      </c>
      <c r="G909" s="3">
        <v>55.0</v>
      </c>
    </row>
    <row r="910">
      <c r="A910" s="2">
        <v>43952.0</v>
      </c>
      <c r="B910" s="3">
        <v>2020.0</v>
      </c>
      <c r="C910" s="3">
        <v>5.0</v>
      </c>
      <c r="D910" s="3" t="s">
        <v>11</v>
      </c>
      <c r="E910" s="3">
        <v>1.16</v>
      </c>
      <c r="F910" s="3">
        <v>2.12</v>
      </c>
      <c r="G910" s="3">
        <v>55.0</v>
      </c>
    </row>
    <row r="911">
      <c r="A911" s="2">
        <v>43983.0</v>
      </c>
      <c r="B911" s="3">
        <v>2020.0</v>
      </c>
      <c r="C911" s="3">
        <v>6.0</v>
      </c>
      <c r="D911" s="3" t="s">
        <v>11</v>
      </c>
      <c r="E911" s="3">
        <v>1.12</v>
      </c>
      <c r="F911" s="3">
        <v>2.03</v>
      </c>
      <c r="G911" s="3">
        <v>55.0</v>
      </c>
    </row>
    <row r="912">
      <c r="A912" s="2">
        <v>44013.0</v>
      </c>
      <c r="B912" s="3">
        <v>2020.0</v>
      </c>
      <c r="C912" s="3">
        <v>7.0</v>
      </c>
      <c r="D912" s="3" t="s">
        <v>11</v>
      </c>
      <c r="E912" s="3">
        <v>7.8</v>
      </c>
      <c r="F912" s="3">
        <v>14.18</v>
      </c>
      <c r="G912" s="3">
        <v>55.0</v>
      </c>
    </row>
    <row r="913">
      <c r="A913" s="2">
        <v>44044.0</v>
      </c>
      <c r="B913" s="3">
        <v>2020.0</v>
      </c>
      <c r="C913" s="3">
        <v>8.0</v>
      </c>
      <c r="D913" s="3" t="s">
        <v>11</v>
      </c>
      <c r="E913" s="3">
        <v>2.81</v>
      </c>
      <c r="F913" s="3">
        <v>5.11</v>
      </c>
      <c r="G913" s="3">
        <v>55.0</v>
      </c>
    </row>
    <row r="914">
      <c r="A914" s="2">
        <v>44075.0</v>
      </c>
      <c r="B914" s="3">
        <v>2020.0</v>
      </c>
      <c r="C914" s="3">
        <v>9.0</v>
      </c>
      <c r="D914" s="3" t="s">
        <v>11</v>
      </c>
      <c r="E914" s="3">
        <v>3.07</v>
      </c>
      <c r="F914" s="3">
        <v>5.58</v>
      </c>
      <c r="G914" s="3">
        <v>55.0</v>
      </c>
    </row>
    <row r="915">
      <c r="A915" s="4">
        <v>44105.0</v>
      </c>
      <c r="B915" s="3">
        <v>2020.0</v>
      </c>
      <c r="C915" s="3">
        <v>10.0</v>
      </c>
      <c r="D915" s="3" t="s">
        <v>11</v>
      </c>
      <c r="E915" s="3">
        <v>3.17</v>
      </c>
      <c r="F915" s="3">
        <v>5.77</v>
      </c>
      <c r="G915" s="3">
        <v>55.0</v>
      </c>
    </row>
    <row r="916">
      <c r="A916" s="4">
        <v>44136.0</v>
      </c>
      <c r="B916" s="3">
        <v>2020.0</v>
      </c>
      <c r="C916" s="3">
        <v>11.0</v>
      </c>
      <c r="D916" s="3" t="s">
        <v>11</v>
      </c>
      <c r="E916" s="3">
        <v>3.57</v>
      </c>
      <c r="F916" s="3">
        <v>6.5</v>
      </c>
      <c r="G916" s="3">
        <v>55.0</v>
      </c>
    </row>
    <row r="917">
      <c r="A917" s="4">
        <v>44166.0</v>
      </c>
      <c r="B917" s="3">
        <v>2020.0</v>
      </c>
      <c r="C917" s="3">
        <v>12.0</v>
      </c>
      <c r="D917" s="3" t="s">
        <v>11</v>
      </c>
      <c r="E917" s="3">
        <v>3.67</v>
      </c>
      <c r="F917" s="3">
        <v>6.68</v>
      </c>
      <c r="G917" s="3">
        <v>55.0</v>
      </c>
    </row>
    <row r="918">
      <c r="A918" s="2">
        <v>44197.0</v>
      </c>
      <c r="B918" s="3">
        <v>2021.0</v>
      </c>
      <c r="C918" s="3">
        <v>1.0</v>
      </c>
      <c r="D918" s="3" t="s">
        <v>11</v>
      </c>
      <c r="E918" s="3">
        <v>11.26</v>
      </c>
      <c r="F918" s="3">
        <v>13.43</v>
      </c>
      <c r="G918" s="3">
        <v>83.8</v>
      </c>
    </row>
    <row r="919">
      <c r="A919" s="2">
        <v>44228.0</v>
      </c>
      <c r="B919" s="3">
        <v>2021.0</v>
      </c>
      <c r="C919" s="3">
        <v>2.0</v>
      </c>
      <c r="D919" s="3" t="s">
        <v>11</v>
      </c>
      <c r="E919" s="3">
        <v>5.05</v>
      </c>
      <c r="F919" s="3">
        <v>6.08</v>
      </c>
      <c r="G919" s="3">
        <v>83.2</v>
      </c>
    </row>
    <row r="920">
      <c r="A920" s="2">
        <v>44256.0</v>
      </c>
      <c r="B920" s="3">
        <v>2021.0</v>
      </c>
      <c r="C920" s="3">
        <v>3.0</v>
      </c>
      <c r="D920" s="3" t="s">
        <v>11</v>
      </c>
      <c r="E920" s="3">
        <v>4.97</v>
      </c>
      <c r="F920" s="3">
        <v>6.16</v>
      </c>
      <c r="G920" s="3">
        <v>80.7</v>
      </c>
    </row>
    <row r="921">
      <c r="A921" s="2">
        <v>44287.0</v>
      </c>
      <c r="B921" s="3">
        <v>2021.0</v>
      </c>
      <c r="C921" s="3">
        <v>4.0</v>
      </c>
      <c r="D921" s="3" t="s">
        <v>11</v>
      </c>
      <c r="E921" s="3">
        <v>4.8</v>
      </c>
      <c r="F921" s="3">
        <v>5.85</v>
      </c>
      <c r="G921" s="3">
        <v>82.0</v>
      </c>
    </row>
    <row r="922">
      <c r="A922" s="2">
        <v>44317.0</v>
      </c>
      <c r="B922" s="3">
        <v>2021.0</v>
      </c>
      <c r="C922" s="3">
        <v>5.0</v>
      </c>
      <c r="D922" s="3" t="s">
        <v>11</v>
      </c>
      <c r="E922" s="3">
        <v>4.7</v>
      </c>
      <c r="F922" s="3">
        <v>6.0</v>
      </c>
      <c r="G922" s="3">
        <v>78.2</v>
      </c>
    </row>
    <row r="923">
      <c r="A923" s="2">
        <v>44348.0</v>
      </c>
      <c r="B923" s="3">
        <v>2021.0</v>
      </c>
      <c r="C923" s="3">
        <v>6.0</v>
      </c>
      <c r="D923" s="3" t="s">
        <v>11</v>
      </c>
      <c r="E923" s="3">
        <v>4.57</v>
      </c>
      <c r="F923" s="3">
        <v>5.56</v>
      </c>
      <c r="G923" s="3">
        <v>82.1</v>
      </c>
    </row>
    <row r="924">
      <c r="A924" s="2">
        <v>44378.0</v>
      </c>
      <c r="B924" s="3">
        <v>2021.0</v>
      </c>
      <c r="C924" s="3">
        <v>7.0</v>
      </c>
      <c r="D924" s="3" t="s">
        <v>11</v>
      </c>
      <c r="E924" s="3">
        <v>10.26</v>
      </c>
      <c r="F924" s="3">
        <v>12.59</v>
      </c>
      <c r="G924" s="3">
        <v>81.5</v>
      </c>
    </row>
    <row r="925">
      <c r="A925" s="2">
        <v>44409.0</v>
      </c>
      <c r="B925" s="3">
        <v>2021.0</v>
      </c>
      <c r="C925" s="3">
        <v>8.0</v>
      </c>
      <c r="D925" s="3" t="s">
        <v>11</v>
      </c>
      <c r="E925" s="3">
        <v>7.08</v>
      </c>
      <c r="F925" s="3">
        <v>8.87</v>
      </c>
      <c r="G925" s="3">
        <v>79.8</v>
      </c>
    </row>
    <row r="926">
      <c r="A926" s="2">
        <v>44440.0</v>
      </c>
      <c r="B926" s="3">
        <v>2021.0</v>
      </c>
      <c r="C926" s="3">
        <v>9.0</v>
      </c>
      <c r="D926" s="3" t="s">
        <v>11</v>
      </c>
      <c r="E926" s="3">
        <v>7.06</v>
      </c>
      <c r="F926" s="3">
        <v>8.68</v>
      </c>
      <c r="G926" s="3">
        <v>81.3</v>
      </c>
    </row>
    <row r="927">
      <c r="A927" s="4">
        <v>44470.0</v>
      </c>
      <c r="B927" s="3">
        <v>2021.0</v>
      </c>
      <c r="C927" s="3">
        <v>10.0</v>
      </c>
      <c r="D927" s="3" t="s">
        <v>11</v>
      </c>
      <c r="E927" s="3">
        <v>8.15</v>
      </c>
      <c r="F927" s="3">
        <v>9.54</v>
      </c>
      <c r="G927" s="3">
        <v>85.4</v>
      </c>
    </row>
    <row r="928">
      <c r="A928" s="4">
        <v>44501.0</v>
      </c>
      <c r="B928" s="3">
        <v>2021.0</v>
      </c>
      <c r="C928" s="3">
        <v>11.0</v>
      </c>
      <c r="D928" s="3" t="s">
        <v>11</v>
      </c>
      <c r="E928" s="3">
        <v>8.73</v>
      </c>
      <c r="F928" s="3">
        <v>11.05</v>
      </c>
      <c r="G928" s="3">
        <v>79.1</v>
      </c>
    </row>
    <row r="929">
      <c r="A929" s="4">
        <v>44531.0</v>
      </c>
      <c r="B929" s="3">
        <v>2021.0</v>
      </c>
      <c r="C929" s="3">
        <v>12.0</v>
      </c>
      <c r="D929" s="3" t="s">
        <v>11</v>
      </c>
      <c r="E929" s="3">
        <v>8.94</v>
      </c>
      <c r="F929" s="3">
        <v>10.84</v>
      </c>
      <c r="G929" s="3">
        <v>82.5</v>
      </c>
    </row>
    <row r="930">
      <c r="A930" s="2">
        <v>44562.0</v>
      </c>
      <c r="B930" s="3">
        <v>2022.0</v>
      </c>
      <c r="C930" s="3">
        <v>1.0</v>
      </c>
      <c r="D930" s="3" t="s">
        <v>11</v>
      </c>
      <c r="E930" s="3">
        <v>14.38</v>
      </c>
      <c r="F930" s="3">
        <v>17.3</v>
      </c>
      <c r="G930" s="3">
        <v>83.1</v>
      </c>
    </row>
    <row r="931">
      <c r="A931" s="2">
        <v>44593.0</v>
      </c>
      <c r="B931" s="3">
        <v>2022.0</v>
      </c>
      <c r="C931" s="3">
        <v>2.0</v>
      </c>
      <c r="D931" s="3" t="s">
        <v>11</v>
      </c>
      <c r="E931" s="3">
        <v>13.92</v>
      </c>
      <c r="F931" s="3">
        <v>16.95</v>
      </c>
      <c r="G931" s="3">
        <v>82.1</v>
      </c>
    </row>
    <row r="932">
      <c r="A932" s="2">
        <v>44621.0</v>
      </c>
      <c r="B932" s="3">
        <v>2022.0</v>
      </c>
      <c r="C932" s="3">
        <v>3.0</v>
      </c>
      <c r="D932" s="3" t="s">
        <v>11</v>
      </c>
      <c r="E932" s="3">
        <v>14.18</v>
      </c>
      <c r="F932" s="3">
        <v>16.95</v>
      </c>
      <c r="G932" s="3">
        <v>83.7</v>
      </c>
    </row>
    <row r="933">
      <c r="A933" s="2">
        <v>44652.0</v>
      </c>
      <c r="B933" s="3">
        <v>2022.0</v>
      </c>
      <c r="C933" s="3">
        <v>4.0</v>
      </c>
      <c r="D933" s="3" t="s">
        <v>11</v>
      </c>
      <c r="E933" s="3">
        <v>13.18</v>
      </c>
      <c r="F933" s="3">
        <v>16.21</v>
      </c>
      <c r="G933" s="3">
        <v>81.3</v>
      </c>
    </row>
    <row r="934">
      <c r="A934" s="2">
        <v>44682.0</v>
      </c>
      <c r="B934" s="3">
        <v>2022.0</v>
      </c>
      <c r="C934" s="3">
        <v>5.0</v>
      </c>
      <c r="D934" s="3" t="s">
        <v>11</v>
      </c>
      <c r="E934" s="3">
        <v>11.97</v>
      </c>
      <c r="F934" s="3">
        <v>14.82</v>
      </c>
      <c r="G934" s="3">
        <v>80.8</v>
      </c>
    </row>
    <row r="935">
      <c r="A935" s="2">
        <v>44713.0</v>
      </c>
      <c r="B935" s="3">
        <v>2022.0</v>
      </c>
      <c r="C935" s="3">
        <v>6.0</v>
      </c>
      <c r="D935" s="3" t="s">
        <v>11</v>
      </c>
      <c r="E935" s="3">
        <v>12.44</v>
      </c>
      <c r="F935" s="3">
        <v>15.56</v>
      </c>
      <c r="G935" s="3">
        <v>80.0</v>
      </c>
    </row>
    <row r="936">
      <c r="A936" s="2">
        <v>44743.0</v>
      </c>
      <c r="B936" s="3">
        <v>2022.0</v>
      </c>
      <c r="C936" s="3">
        <v>7.0</v>
      </c>
      <c r="D936" s="3" t="s">
        <v>11</v>
      </c>
      <c r="E936" s="3">
        <v>12.66</v>
      </c>
      <c r="F936" s="3">
        <v>15.46</v>
      </c>
      <c r="G936" s="3">
        <v>81.9</v>
      </c>
    </row>
    <row r="937">
      <c r="A937" s="2">
        <v>44774.0</v>
      </c>
      <c r="B937" s="3">
        <v>2022.0</v>
      </c>
      <c r="C937" s="3">
        <v>8.0</v>
      </c>
      <c r="D937" s="3" t="s">
        <v>11</v>
      </c>
      <c r="E937" s="3">
        <v>12.09</v>
      </c>
      <c r="F937" s="3">
        <v>14.67</v>
      </c>
      <c r="G937" s="3">
        <v>82.4</v>
      </c>
    </row>
    <row r="938">
      <c r="A938" s="2">
        <v>44805.0</v>
      </c>
      <c r="B938" s="3">
        <v>2022.0</v>
      </c>
      <c r="C938" s="3">
        <v>9.0</v>
      </c>
      <c r="D938" s="3" t="s">
        <v>11</v>
      </c>
      <c r="E938" s="3">
        <v>13.24</v>
      </c>
      <c r="F938" s="3">
        <v>15.96</v>
      </c>
      <c r="G938" s="3">
        <v>83.0</v>
      </c>
    </row>
    <row r="939">
      <c r="A939" s="4">
        <v>44835.0</v>
      </c>
      <c r="B939" s="3">
        <v>2022.0</v>
      </c>
      <c r="C939" s="3">
        <v>10.0</v>
      </c>
      <c r="D939" s="3" t="s">
        <v>11</v>
      </c>
      <c r="E939" s="3">
        <v>13.95</v>
      </c>
      <c r="F939" s="3">
        <v>17.0</v>
      </c>
      <c r="G939" s="3">
        <v>82.1</v>
      </c>
    </row>
    <row r="940">
      <c r="A940" s="4">
        <v>44866.0</v>
      </c>
      <c r="B940" s="3">
        <v>2022.0</v>
      </c>
      <c r="C940" s="3">
        <v>11.0</v>
      </c>
      <c r="D940" s="3" t="s">
        <v>11</v>
      </c>
      <c r="E940" s="3">
        <v>15.27</v>
      </c>
      <c r="F940" s="3">
        <v>18.48</v>
      </c>
      <c r="G940" s="3">
        <v>82.6</v>
      </c>
    </row>
    <row r="941">
      <c r="A941" s="4">
        <v>44896.0</v>
      </c>
      <c r="B941" s="3">
        <v>2022.0</v>
      </c>
      <c r="C941" s="3">
        <v>12.0</v>
      </c>
      <c r="D941" s="3" t="s">
        <v>11</v>
      </c>
      <c r="E941" s="3">
        <v>16.18</v>
      </c>
      <c r="F941" s="3">
        <v>19.85</v>
      </c>
      <c r="G941" s="3">
        <v>81.5</v>
      </c>
    </row>
    <row r="942">
      <c r="A942" s="2">
        <v>44927.0</v>
      </c>
      <c r="B942" s="3">
        <v>2023.0</v>
      </c>
      <c r="C942" s="3">
        <v>1.0</v>
      </c>
      <c r="D942" s="3" t="s">
        <v>11</v>
      </c>
      <c r="E942" s="3">
        <v>15.76</v>
      </c>
      <c r="F942" s="3">
        <v>19.93</v>
      </c>
      <c r="G942" s="3">
        <v>79.0</v>
      </c>
    </row>
    <row r="943">
      <c r="A943" s="2">
        <v>44958.0</v>
      </c>
      <c r="B943" s="3">
        <v>2023.0</v>
      </c>
      <c r="C943" s="3">
        <v>2.0</v>
      </c>
      <c r="D943" s="3" t="s">
        <v>11</v>
      </c>
      <c r="E943" s="3">
        <v>16.19</v>
      </c>
      <c r="F943" s="3">
        <v>19.75</v>
      </c>
      <c r="G943" s="3">
        <v>82.0</v>
      </c>
    </row>
    <row r="944">
      <c r="A944" s="2">
        <v>44986.0</v>
      </c>
      <c r="B944" s="3">
        <v>2023.0</v>
      </c>
      <c r="C944" s="3">
        <v>3.0</v>
      </c>
      <c r="D944" s="3" t="s">
        <v>11</v>
      </c>
      <c r="E944" s="3">
        <v>15.81</v>
      </c>
      <c r="F944" s="3">
        <v>18.99</v>
      </c>
      <c r="G944" s="3">
        <v>83.3</v>
      </c>
    </row>
    <row r="945">
      <c r="A945" s="2">
        <v>45017.0</v>
      </c>
      <c r="B945" s="3">
        <v>2023.0</v>
      </c>
      <c r="C945" s="3">
        <v>4.0</v>
      </c>
      <c r="D945" s="3" t="s">
        <v>11</v>
      </c>
      <c r="E945" s="3">
        <v>15.37</v>
      </c>
      <c r="F945" s="3">
        <v>19.2</v>
      </c>
      <c r="G945" s="3">
        <v>80.1</v>
      </c>
    </row>
    <row r="946">
      <c r="A946" s="2">
        <v>45047.0</v>
      </c>
      <c r="B946" s="3">
        <v>2023.0</v>
      </c>
      <c r="C946" s="3">
        <v>5.0</v>
      </c>
      <c r="D946" s="3" t="s">
        <v>11</v>
      </c>
      <c r="E946" s="3">
        <v>14.76</v>
      </c>
      <c r="F946" s="3">
        <v>17.9</v>
      </c>
      <c r="G946" s="3">
        <v>82.5</v>
      </c>
    </row>
    <row r="947">
      <c r="A947" s="2">
        <v>45078.0</v>
      </c>
      <c r="B947" s="3">
        <v>2023.0</v>
      </c>
      <c r="C947" s="3">
        <v>6.0</v>
      </c>
      <c r="D947" s="3" t="s">
        <v>11</v>
      </c>
      <c r="E947" s="3">
        <v>14.6</v>
      </c>
      <c r="F947" s="3">
        <v>17.03</v>
      </c>
      <c r="G947" s="3">
        <v>85.8</v>
      </c>
    </row>
    <row r="948">
      <c r="A948" s="2">
        <v>45108.0</v>
      </c>
      <c r="B948" s="3">
        <v>2023.0</v>
      </c>
      <c r="C948" s="3">
        <v>7.0</v>
      </c>
      <c r="D948" s="3" t="s">
        <v>11</v>
      </c>
      <c r="E948" s="3">
        <v>14.11</v>
      </c>
      <c r="F948" s="3">
        <v>17.24</v>
      </c>
      <c r="G948" s="3">
        <v>81.9</v>
      </c>
    </row>
    <row r="949">
      <c r="A949" s="2">
        <v>45139.0</v>
      </c>
      <c r="B949" s="3">
        <v>2023.0</v>
      </c>
      <c r="C949" s="3">
        <v>8.0</v>
      </c>
      <c r="D949" s="3" t="s">
        <v>11</v>
      </c>
      <c r="E949" s="3">
        <v>14.96</v>
      </c>
      <c r="F949" s="3">
        <v>18.25</v>
      </c>
      <c r="G949" s="3">
        <v>82.0</v>
      </c>
    </row>
    <row r="950">
      <c r="A950" s="2">
        <v>45170.0</v>
      </c>
      <c r="B950" s="3">
        <v>2023.0</v>
      </c>
      <c r="C950" s="3">
        <v>9.0</v>
      </c>
      <c r="D950" s="3" t="s">
        <v>11</v>
      </c>
      <c r="E950" s="3">
        <v>15.29</v>
      </c>
      <c r="F950" s="3">
        <v>19.37</v>
      </c>
      <c r="G950" s="3">
        <v>78.9</v>
      </c>
    </row>
    <row r="951">
      <c r="A951" s="4">
        <v>45200.0</v>
      </c>
      <c r="B951" s="3">
        <v>2023.0</v>
      </c>
      <c r="C951" s="3">
        <v>10.0</v>
      </c>
      <c r="D951" s="3" t="s">
        <v>11</v>
      </c>
      <c r="E951" s="3">
        <v>16.25</v>
      </c>
      <c r="F951" s="3">
        <v>20.35</v>
      </c>
      <c r="G951" s="3">
        <v>79.9</v>
      </c>
    </row>
    <row r="952">
      <c r="A952" s="4">
        <v>45231.0</v>
      </c>
      <c r="B952" s="3">
        <v>2023.0</v>
      </c>
      <c r="C952" s="3">
        <v>11.0</v>
      </c>
      <c r="D952" s="3" t="s">
        <v>11</v>
      </c>
      <c r="E952" s="3">
        <v>16.62</v>
      </c>
      <c r="F952" s="3">
        <v>20.67</v>
      </c>
      <c r="G952" s="3">
        <v>80.4</v>
      </c>
    </row>
    <row r="953">
      <c r="A953" s="4">
        <v>45261.0</v>
      </c>
      <c r="B953" s="3">
        <v>2023.0</v>
      </c>
      <c r="C953" s="3">
        <v>12.0</v>
      </c>
      <c r="D953" s="3" t="s">
        <v>11</v>
      </c>
      <c r="E953" s="3">
        <v>17.73</v>
      </c>
      <c r="F953" s="3">
        <v>21.31</v>
      </c>
      <c r="G953" s="3">
        <v>83.2</v>
      </c>
    </row>
    <row r="954">
      <c r="A954" s="2">
        <v>45292.0</v>
      </c>
      <c r="B954" s="3">
        <v>2024.0</v>
      </c>
      <c r="C954" s="3">
        <v>1.0</v>
      </c>
      <c r="D954" s="3" t="s">
        <v>11</v>
      </c>
      <c r="E954" s="3">
        <v>19.04</v>
      </c>
      <c r="F954" s="3">
        <v>23.74</v>
      </c>
      <c r="G954" s="3">
        <v>80.2</v>
      </c>
    </row>
    <row r="955">
      <c r="A955" s="2">
        <v>45323.0</v>
      </c>
      <c r="B955" s="3">
        <v>2024.0</v>
      </c>
      <c r="C955" s="3">
        <v>2.0</v>
      </c>
      <c r="D955" s="3" t="s">
        <v>11</v>
      </c>
      <c r="E955" s="3">
        <v>18.42</v>
      </c>
      <c r="F955" s="3">
        <v>23.53</v>
      </c>
      <c r="G955" s="3">
        <v>78.3</v>
      </c>
    </row>
    <row r="956">
      <c r="A956" s="2">
        <v>45352.0</v>
      </c>
      <c r="B956" s="3">
        <v>2024.0</v>
      </c>
      <c r="C956" s="3">
        <v>3.0</v>
      </c>
      <c r="D956" s="3" t="s">
        <v>11</v>
      </c>
      <c r="E956" s="3">
        <v>17.76</v>
      </c>
      <c r="F956" s="3">
        <v>21.45</v>
      </c>
      <c r="G956" s="3">
        <v>82.8</v>
      </c>
    </row>
    <row r="957">
      <c r="A957" s="2">
        <v>45383.0</v>
      </c>
      <c r="B957" s="3">
        <v>2024.0</v>
      </c>
      <c r="C957" s="3">
        <v>4.0</v>
      </c>
      <c r="D957" s="3" t="s">
        <v>11</v>
      </c>
      <c r="E957" s="3">
        <v>17.68</v>
      </c>
      <c r="F957" s="3">
        <v>21.95</v>
      </c>
      <c r="G957" s="3">
        <v>80.6</v>
      </c>
    </row>
    <row r="958">
      <c r="A958" s="2">
        <v>45413.0</v>
      </c>
      <c r="B958" s="3">
        <v>2024.0</v>
      </c>
      <c r="C958" s="3">
        <v>5.0</v>
      </c>
      <c r="D958" s="3" t="s">
        <v>11</v>
      </c>
      <c r="E958" s="3">
        <v>16.99</v>
      </c>
      <c r="F958" s="3">
        <v>21.52</v>
      </c>
      <c r="G958" s="3">
        <v>79.0</v>
      </c>
    </row>
    <row r="959">
      <c r="A959" s="2">
        <v>45444.0</v>
      </c>
      <c r="B959" s="3">
        <v>2024.0</v>
      </c>
      <c r="C959" s="3">
        <v>6.0</v>
      </c>
      <c r="D959" s="3" t="s">
        <v>11</v>
      </c>
      <c r="E959" s="3">
        <v>15.32</v>
      </c>
      <c r="F959" s="3">
        <v>18.37</v>
      </c>
      <c r="G959" s="3">
        <v>83.4</v>
      </c>
    </row>
    <row r="960">
      <c r="A960" s="2">
        <v>45474.0</v>
      </c>
      <c r="B960" s="3">
        <v>2024.0</v>
      </c>
      <c r="C960" s="3">
        <v>7.0</v>
      </c>
      <c r="D960" s="3" t="s">
        <v>11</v>
      </c>
      <c r="E960" s="3">
        <v>16.56</v>
      </c>
      <c r="F960" s="3">
        <v>19.95</v>
      </c>
      <c r="G960" s="3">
        <v>83.0</v>
      </c>
    </row>
    <row r="961">
      <c r="A961" s="2">
        <v>45505.0</v>
      </c>
      <c r="B961" s="3">
        <v>2024.0</v>
      </c>
      <c r="C961" s="3">
        <v>8.0</v>
      </c>
      <c r="D961" s="3" t="s">
        <v>11</v>
      </c>
      <c r="E961" s="3">
        <v>16.04</v>
      </c>
      <c r="F961" s="3">
        <v>20.67</v>
      </c>
      <c r="G961" s="3">
        <v>77.6</v>
      </c>
    </row>
    <row r="962">
      <c r="A962" s="2">
        <v>45536.0</v>
      </c>
      <c r="B962" s="3">
        <v>2024.0</v>
      </c>
      <c r="C962" s="3">
        <v>9.0</v>
      </c>
      <c r="D962" s="3" t="s">
        <v>11</v>
      </c>
      <c r="E962" s="3">
        <v>15.8</v>
      </c>
      <c r="F962" s="3">
        <v>19.2</v>
      </c>
      <c r="G962" s="3">
        <v>82.3</v>
      </c>
    </row>
    <row r="963">
      <c r="A963" s="4">
        <v>45566.0</v>
      </c>
      <c r="B963" s="3">
        <v>2024.0</v>
      </c>
      <c r="C963" s="3">
        <v>10.0</v>
      </c>
      <c r="D963" s="3" t="s">
        <v>11</v>
      </c>
      <c r="E963" s="3">
        <v>17.56</v>
      </c>
      <c r="F963" s="3">
        <v>22.01</v>
      </c>
      <c r="G963" s="3">
        <v>79.8</v>
      </c>
    </row>
    <row r="964">
      <c r="A964" s="4">
        <v>45597.0</v>
      </c>
      <c r="B964" s="3">
        <v>2024.0</v>
      </c>
      <c r="C964" s="3">
        <v>11.0</v>
      </c>
      <c r="D964" s="3" t="s">
        <v>11</v>
      </c>
      <c r="E964" s="3">
        <v>18.76</v>
      </c>
      <c r="F964" s="3">
        <v>22.82</v>
      </c>
      <c r="G964" s="3">
        <v>82.2</v>
      </c>
    </row>
    <row r="965">
      <c r="A965" s="4">
        <v>45627.0</v>
      </c>
      <c r="B965" s="3">
        <v>2024.0</v>
      </c>
      <c r="C965" s="3">
        <v>12.0</v>
      </c>
      <c r="D965" s="3" t="s">
        <v>11</v>
      </c>
      <c r="E965" s="3">
        <v>20.03</v>
      </c>
      <c r="F965" s="3">
        <v>24.34</v>
      </c>
      <c r="G965" s="3">
        <v>82.3</v>
      </c>
    </row>
    <row r="966">
      <c r="A966" s="2">
        <v>45658.0</v>
      </c>
      <c r="B966" s="3">
        <v>2025.0</v>
      </c>
      <c r="C966" s="3">
        <v>1.0</v>
      </c>
      <c r="D966" s="3" t="s">
        <v>11</v>
      </c>
      <c r="E966" s="3">
        <v>20.54</v>
      </c>
      <c r="F966" s="3">
        <v>25.05</v>
      </c>
      <c r="G966" s="3">
        <v>82.0</v>
      </c>
    </row>
    <row r="967">
      <c r="A967" s="2">
        <v>45689.0</v>
      </c>
      <c r="B967" s="3">
        <v>2025.0</v>
      </c>
      <c r="C967" s="3">
        <v>2.0</v>
      </c>
      <c r="D967" s="3" t="s">
        <v>11</v>
      </c>
      <c r="E967" s="3">
        <v>19.58</v>
      </c>
      <c r="F967" s="3">
        <v>23.28</v>
      </c>
      <c r="G967" s="3">
        <v>84.1</v>
      </c>
    </row>
    <row r="968">
      <c r="A968" s="2">
        <v>45717.0</v>
      </c>
      <c r="B968" s="3">
        <v>2025.0</v>
      </c>
      <c r="C968" s="3">
        <v>3.0</v>
      </c>
      <c r="D968" s="3" t="s">
        <v>11</v>
      </c>
      <c r="E968" s="3">
        <v>18.52</v>
      </c>
      <c r="F968" s="3">
        <v>21.14</v>
      </c>
      <c r="G968" s="3">
        <v>87.6</v>
      </c>
    </row>
    <row r="969">
      <c r="A969" s="2">
        <v>45748.0</v>
      </c>
      <c r="B969" s="3">
        <v>2025.0</v>
      </c>
      <c r="C969" s="3">
        <v>4.0</v>
      </c>
      <c r="D969" s="3" t="s">
        <v>11</v>
      </c>
      <c r="E969" s="3">
        <v>18.46</v>
      </c>
      <c r="F969" s="3">
        <v>22.3</v>
      </c>
      <c r="G969" s="3">
        <v>82.8</v>
      </c>
    </row>
    <row r="970">
      <c r="A970" s="2">
        <v>45778.0</v>
      </c>
      <c r="B970" s="3">
        <v>2025.0</v>
      </c>
      <c r="C970" s="3">
        <v>5.0</v>
      </c>
      <c r="D970" s="3" t="s">
        <v>11</v>
      </c>
      <c r="E970" s="3">
        <v>17.69</v>
      </c>
      <c r="F970" s="3">
        <v>20.63</v>
      </c>
      <c r="G970" s="3">
        <v>85.8</v>
      </c>
    </row>
    <row r="971">
      <c r="A971" s="2">
        <v>45809.0</v>
      </c>
      <c r="B971" s="3">
        <v>2025.0</v>
      </c>
      <c r="C971" s="3">
        <v>6.0</v>
      </c>
      <c r="D971" s="3" t="s">
        <v>11</v>
      </c>
      <c r="E971" s="3">
        <v>17.23</v>
      </c>
      <c r="F971" s="3">
        <v>21.86</v>
      </c>
      <c r="G971" s="3">
        <v>78.8</v>
      </c>
    </row>
    <row r="972">
      <c r="A972" s="2">
        <v>45839.0</v>
      </c>
      <c r="B972" s="3">
        <v>2025.0</v>
      </c>
      <c r="C972" s="3">
        <v>7.0</v>
      </c>
      <c r="D972" s="3" t="s">
        <v>11</v>
      </c>
      <c r="E972" s="3">
        <v>17.37</v>
      </c>
      <c r="F972" s="3">
        <v>21.36</v>
      </c>
      <c r="G972" s="3">
        <v>81.3</v>
      </c>
    </row>
    <row r="973">
      <c r="A973" s="2">
        <v>45870.0</v>
      </c>
      <c r="B973" s="3">
        <v>2025.0</v>
      </c>
      <c r="C973" s="3">
        <v>8.0</v>
      </c>
      <c r="D973" s="3" t="s">
        <v>11</v>
      </c>
      <c r="E973" s="3">
        <v>17.03</v>
      </c>
      <c r="F973" s="3">
        <v>21.44</v>
      </c>
      <c r="G973" s="3">
        <v>79.4</v>
      </c>
    </row>
    <row r="974">
      <c r="A974" s="2">
        <v>45901.0</v>
      </c>
      <c r="B974" s="3">
        <v>2025.0</v>
      </c>
      <c r="C974" s="3">
        <v>9.0</v>
      </c>
      <c r="D974" s="3" t="s">
        <v>11</v>
      </c>
      <c r="E974" s="3">
        <v>18.02</v>
      </c>
      <c r="F974" s="3">
        <v>22.32</v>
      </c>
      <c r="G974" s="3">
        <v>80.7</v>
      </c>
    </row>
    <row r="975">
      <c r="A975" s="4">
        <v>45931.0</v>
      </c>
      <c r="B975" s="3">
        <v>2025.0</v>
      </c>
      <c r="C975" s="3">
        <v>10.0</v>
      </c>
      <c r="D975" s="3" t="s">
        <v>11</v>
      </c>
      <c r="E975" s="3">
        <v>18.81</v>
      </c>
      <c r="F975" s="3">
        <v>23.09</v>
      </c>
      <c r="G975" s="3">
        <v>81.4</v>
      </c>
    </row>
    <row r="976">
      <c r="A976" s="4">
        <v>45962.0</v>
      </c>
      <c r="B976" s="3">
        <v>2025.0</v>
      </c>
      <c r="C976" s="3">
        <v>11.0</v>
      </c>
      <c r="D976" s="3" t="s">
        <v>11</v>
      </c>
      <c r="E976" s="3">
        <v>20.95</v>
      </c>
      <c r="F976" s="3">
        <v>24.37</v>
      </c>
      <c r="G976" s="3">
        <v>86.0</v>
      </c>
    </row>
    <row r="977">
      <c r="A977" s="4">
        <v>45992.0</v>
      </c>
      <c r="B977" s="3">
        <v>2025.0</v>
      </c>
      <c r="C977" s="3">
        <v>12.0</v>
      </c>
      <c r="D977" s="3" t="s">
        <v>11</v>
      </c>
      <c r="E977" s="3">
        <v>20.58</v>
      </c>
      <c r="F977" s="3">
        <v>25.06</v>
      </c>
      <c r="G977" s="3">
        <v>82.1</v>
      </c>
    </row>
    <row r="978">
      <c r="A978" s="2">
        <v>46023.0</v>
      </c>
      <c r="B978" s="3">
        <v>2026.0</v>
      </c>
      <c r="C978" s="3">
        <v>1.0</v>
      </c>
      <c r="D978" s="3" t="s">
        <v>11</v>
      </c>
      <c r="E978" s="3">
        <v>20.67</v>
      </c>
      <c r="F978" s="3">
        <v>24.54</v>
      </c>
      <c r="G978" s="3">
        <v>84.2</v>
      </c>
    </row>
    <row r="979">
      <c r="A979" s="2">
        <v>46054.0</v>
      </c>
      <c r="B979" s="3">
        <v>2026.0</v>
      </c>
      <c r="C979" s="3">
        <v>2.0</v>
      </c>
      <c r="D979" s="3" t="s">
        <v>11</v>
      </c>
      <c r="E979" s="3">
        <v>20.44</v>
      </c>
      <c r="F979" s="3">
        <v>25.19</v>
      </c>
      <c r="G979" s="3">
        <v>81.2</v>
      </c>
    </row>
    <row r="980">
      <c r="A980" s="2">
        <v>46082.0</v>
      </c>
      <c r="B980" s="3">
        <v>2026.0</v>
      </c>
      <c r="C980" s="3">
        <v>3.0</v>
      </c>
      <c r="D980" s="3" t="s">
        <v>11</v>
      </c>
      <c r="E980" s="3">
        <v>20.54</v>
      </c>
      <c r="F980" s="3">
        <v>25.39</v>
      </c>
      <c r="G980" s="3">
        <v>80.9</v>
      </c>
    </row>
    <row r="981">
      <c r="A981" s="2">
        <v>46113.0</v>
      </c>
      <c r="B981" s="3">
        <v>2026.0</v>
      </c>
      <c r="C981" s="3">
        <v>4.0</v>
      </c>
      <c r="D981" s="3" t="s">
        <v>11</v>
      </c>
      <c r="E981" s="3">
        <v>18.98</v>
      </c>
      <c r="F981" s="3">
        <v>24.07</v>
      </c>
      <c r="G981" s="3">
        <v>78.8</v>
      </c>
    </row>
    <row r="982">
      <c r="A982" s="2">
        <v>40179.0</v>
      </c>
      <c r="B982" s="3">
        <v>2010.0</v>
      </c>
      <c r="C982" s="3">
        <v>1.0</v>
      </c>
      <c r="D982" s="3" t="s">
        <v>12</v>
      </c>
      <c r="E982" s="3">
        <v>4.0</v>
      </c>
      <c r="F982" s="3">
        <v>4.66</v>
      </c>
      <c r="G982" s="3">
        <v>85.9</v>
      </c>
    </row>
    <row r="983">
      <c r="A983" s="2">
        <v>40210.0</v>
      </c>
      <c r="B983" s="3">
        <v>2010.0</v>
      </c>
      <c r="C983" s="3">
        <v>2.0</v>
      </c>
      <c r="D983" s="3" t="s">
        <v>12</v>
      </c>
      <c r="E983" s="3">
        <v>3.93</v>
      </c>
      <c r="F983" s="3">
        <v>4.63</v>
      </c>
      <c r="G983" s="3">
        <v>84.9</v>
      </c>
    </row>
    <row r="984">
      <c r="A984" s="2">
        <v>40238.0</v>
      </c>
      <c r="B984" s="3">
        <v>2010.0</v>
      </c>
      <c r="C984" s="3">
        <v>3.0</v>
      </c>
      <c r="D984" s="3" t="s">
        <v>12</v>
      </c>
      <c r="E984" s="3">
        <v>3.86</v>
      </c>
      <c r="F984" s="3">
        <v>4.68</v>
      </c>
      <c r="G984" s="3">
        <v>82.5</v>
      </c>
    </row>
    <row r="985">
      <c r="A985" s="2">
        <v>40269.0</v>
      </c>
      <c r="B985" s="3">
        <v>2010.0</v>
      </c>
      <c r="C985" s="3">
        <v>4.0</v>
      </c>
      <c r="D985" s="3" t="s">
        <v>12</v>
      </c>
      <c r="E985" s="3">
        <v>4.11</v>
      </c>
      <c r="F985" s="3">
        <v>5.04</v>
      </c>
      <c r="G985" s="3">
        <v>81.5</v>
      </c>
    </row>
    <row r="986">
      <c r="A986" s="2">
        <v>40299.0</v>
      </c>
      <c r="B986" s="3">
        <v>2010.0</v>
      </c>
      <c r="C986" s="3">
        <v>5.0</v>
      </c>
      <c r="D986" s="3" t="s">
        <v>12</v>
      </c>
      <c r="E986" s="3">
        <v>4.71</v>
      </c>
      <c r="F986" s="3">
        <v>5.73</v>
      </c>
      <c r="G986" s="3">
        <v>82.2</v>
      </c>
    </row>
    <row r="987">
      <c r="A987" s="2">
        <v>40330.0</v>
      </c>
      <c r="B987" s="3">
        <v>2010.0</v>
      </c>
      <c r="C987" s="3">
        <v>6.0</v>
      </c>
      <c r="D987" s="3" t="s">
        <v>12</v>
      </c>
      <c r="E987" s="3">
        <v>4.77</v>
      </c>
      <c r="F987" s="3">
        <v>6.0</v>
      </c>
      <c r="G987" s="3">
        <v>79.4</v>
      </c>
    </row>
    <row r="988">
      <c r="A988" s="2">
        <v>40360.0</v>
      </c>
      <c r="B988" s="3">
        <v>2010.0</v>
      </c>
      <c r="C988" s="3">
        <v>7.0</v>
      </c>
      <c r="D988" s="3" t="s">
        <v>12</v>
      </c>
      <c r="E988" s="3">
        <v>5.04</v>
      </c>
      <c r="F988" s="3">
        <v>6.07</v>
      </c>
      <c r="G988" s="3">
        <v>83.0</v>
      </c>
    </row>
    <row r="989">
      <c r="A989" s="2">
        <v>40391.0</v>
      </c>
      <c r="B989" s="3">
        <v>2010.0</v>
      </c>
      <c r="C989" s="3">
        <v>8.0</v>
      </c>
      <c r="D989" s="3" t="s">
        <v>12</v>
      </c>
      <c r="E989" s="3">
        <v>5.72</v>
      </c>
      <c r="F989" s="3">
        <v>6.75</v>
      </c>
      <c r="G989" s="3">
        <v>84.7</v>
      </c>
    </row>
    <row r="990">
      <c r="A990" s="2">
        <v>40422.0</v>
      </c>
      <c r="B990" s="3">
        <v>2010.0</v>
      </c>
      <c r="C990" s="3">
        <v>9.0</v>
      </c>
      <c r="D990" s="3" t="s">
        <v>12</v>
      </c>
      <c r="E990" s="3">
        <v>5.02</v>
      </c>
      <c r="F990" s="3">
        <v>5.91</v>
      </c>
      <c r="G990" s="3">
        <v>84.8</v>
      </c>
    </row>
    <row r="991">
      <c r="A991" s="4">
        <v>40452.0</v>
      </c>
      <c r="B991" s="3">
        <v>2010.0</v>
      </c>
      <c r="C991" s="3">
        <v>10.0</v>
      </c>
      <c r="D991" s="3" t="s">
        <v>12</v>
      </c>
      <c r="E991" s="3">
        <v>5.22</v>
      </c>
      <c r="F991" s="3">
        <v>6.62</v>
      </c>
      <c r="G991" s="3">
        <v>78.9</v>
      </c>
    </row>
    <row r="992">
      <c r="A992" s="4">
        <v>40483.0</v>
      </c>
      <c r="B992" s="3">
        <v>2010.0</v>
      </c>
      <c r="C992" s="3">
        <v>11.0</v>
      </c>
      <c r="D992" s="3" t="s">
        <v>12</v>
      </c>
      <c r="E992" s="3">
        <v>4.71</v>
      </c>
      <c r="F992" s="3">
        <v>5.59</v>
      </c>
      <c r="G992" s="3">
        <v>84.2</v>
      </c>
    </row>
    <row r="993">
      <c r="A993" s="4">
        <v>40513.0</v>
      </c>
      <c r="B993" s="3">
        <v>2010.0</v>
      </c>
      <c r="C993" s="3">
        <v>12.0</v>
      </c>
      <c r="D993" s="3" t="s">
        <v>12</v>
      </c>
      <c r="E993" s="3">
        <v>4.49</v>
      </c>
      <c r="F993" s="3">
        <v>5.66</v>
      </c>
      <c r="G993" s="3">
        <v>79.4</v>
      </c>
    </row>
    <row r="994">
      <c r="A994" s="2">
        <v>40544.0</v>
      </c>
      <c r="B994" s="3">
        <v>2011.0</v>
      </c>
      <c r="C994" s="3">
        <v>1.0</v>
      </c>
      <c r="D994" s="3" t="s">
        <v>12</v>
      </c>
      <c r="E994" s="3">
        <v>4.25</v>
      </c>
      <c r="F994" s="3">
        <v>5.47</v>
      </c>
      <c r="G994" s="3">
        <v>77.7</v>
      </c>
    </row>
    <row r="995">
      <c r="A995" s="2">
        <v>40575.0</v>
      </c>
      <c r="B995" s="3">
        <v>2011.0</v>
      </c>
      <c r="C995" s="3">
        <v>2.0</v>
      </c>
      <c r="D995" s="3" t="s">
        <v>12</v>
      </c>
      <c r="E995" s="3">
        <v>4.07</v>
      </c>
      <c r="F995" s="3">
        <v>4.83</v>
      </c>
      <c r="G995" s="3">
        <v>84.3</v>
      </c>
    </row>
    <row r="996">
      <c r="A996" s="2">
        <v>40603.0</v>
      </c>
      <c r="B996" s="3">
        <v>2011.0</v>
      </c>
      <c r="C996" s="3">
        <v>3.0</v>
      </c>
      <c r="D996" s="3" t="s">
        <v>12</v>
      </c>
      <c r="E996" s="3">
        <v>4.22</v>
      </c>
      <c r="F996" s="3">
        <v>5.21</v>
      </c>
      <c r="G996" s="3">
        <v>81.0</v>
      </c>
    </row>
    <row r="997">
      <c r="A997" s="2">
        <v>40634.0</v>
      </c>
      <c r="B997" s="3">
        <v>2011.0</v>
      </c>
      <c r="C997" s="3">
        <v>4.0</v>
      </c>
      <c r="D997" s="3" t="s">
        <v>12</v>
      </c>
      <c r="E997" s="3">
        <v>4.63</v>
      </c>
      <c r="F997" s="3">
        <v>5.52</v>
      </c>
      <c r="G997" s="3">
        <v>83.9</v>
      </c>
    </row>
    <row r="998">
      <c r="A998" s="2">
        <v>40664.0</v>
      </c>
      <c r="B998" s="3">
        <v>2011.0</v>
      </c>
      <c r="C998" s="3">
        <v>5.0</v>
      </c>
      <c r="D998" s="3" t="s">
        <v>12</v>
      </c>
      <c r="E998" s="3">
        <v>5.1</v>
      </c>
      <c r="F998" s="3">
        <v>6.09</v>
      </c>
      <c r="G998" s="3">
        <v>83.7</v>
      </c>
    </row>
    <row r="999">
      <c r="A999" s="2">
        <v>40695.0</v>
      </c>
      <c r="B999" s="3">
        <v>2011.0</v>
      </c>
      <c r="C999" s="3">
        <v>6.0</v>
      </c>
      <c r="D999" s="3" t="s">
        <v>12</v>
      </c>
      <c r="E999" s="3">
        <v>5.47</v>
      </c>
      <c r="F999" s="3">
        <v>6.55</v>
      </c>
      <c r="G999" s="3">
        <v>83.5</v>
      </c>
    </row>
    <row r="1000">
      <c r="A1000" s="2">
        <v>40725.0</v>
      </c>
      <c r="B1000" s="3">
        <v>2011.0</v>
      </c>
      <c r="C1000" s="3">
        <v>7.0</v>
      </c>
      <c r="D1000" s="3" t="s">
        <v>12</v>
      </c>
      <c r="E1000" s="3">
        <v>5.64</v>
      </c>
      <c r="F1000" s="3">
        <v>6.86</v>
      </c>
      <c r="G1000" s="3">
        <v>82.2</v>
      </c>
    </row>
    <row r="1001">
      <c r="A1001" s="2">
        <v>40756.0</v>
      </c>
      <c r="B1001" s="3">
        <v>2011.0</v>
      </c>
      <c r="C1001" s="3">
        <v>8.0</v>
      </c>
      <c r="D1001" s="3" t="s">
        <v>12</v>
      </c>
      <c r="E1001" s="3">
        <v>5.68</v>
      </c>
      <c r="F1001" s="3">
        <v>7.14</v>
      </c>
      <c r="G1001" s="3">
        <v>79.6</v>
      </c>
    </row>
    <row r="1002">
      <c r="A1002" s="2">
        <v>40787.0</v>
      </c>
      <c r="B1002" s="3">
        <v>2011.0</v>
      </c>
      <c r="C1002" s="3">
        <v>9.0</v>
      </c>
      <c r="D1002" s="3" t="s">
        <v>12</v>
      </c>
      <c r="E1002" s="3">
        <v>5.49</v>
      </c>
      <c r="F1002" s="3">
        <v>6.74</v>
      </c>
      <c r="G1002" s="3">
        <v>81.4</v>
      </c>
    </row>
    <row r="1003">
      <c r="A1003" s="4">
        <v>40817.0</v>
      </c>
      <c r="B1003" s="3">
        <v>2011.0</v>
      </c>
      <c r="C1003" s="3">
        <v>10.0</v>
      </c>
      <c r="D1003" s="3" t="s">
        <v>12</v>
      </c>
      <c r="E1003" s="3">
        <v>5.44</v>
      </c>
      <c r="F1003" s="3">
        <v>6.41</v>
      </c>
      <c r="G1003" s="3">
        <v>84.9</v>
      </c>
    </row>
    <row r="1004">
      <c r="A1004" s="4">
        <v>40848.0</v>
      </c>
      <c r="B1004" s="3">
        <v>2011.0</v>
      </c>
      <c r="C1004" s="3">
        <v>11.0</v>
      </c>
      <c r="D1004" s="3" t="s">
        <v>12</v>
      </c>
      <c r="E1004" s="3">
        <v>5.04</v>
      </c>
      <c r="F1004" s="3">
        <v>6.0</v>
      </c>
      <c r="G1004" s="3">
        <v>84.0</v>
      </c>
    </row>
    <row r="1005">
      <c r="A1005" s="4">
        <v>40878.0</v>
      </c>
      <c r="B1005" s="3">
        <v>2011.0</v>
      </c>
      <c r="C1005" s="3">
        <v>12.0</v>
      </c>
      <c r="D1005" s="3" t="s">
        <v>12</v>
      </c>
      <c r="E1005" s="3">
        <v>4.85</v>
      </c>
      <c r="F1005" s="3">
        <v>5.95</v>
      </c>
      <c r="G1005" s="3">
        <v>81.5</v>
      </c>
    </row>
    <row r="1006">
      <c r="A1006" s="2">
        <v>40909.0</v>
      </c>
      <c r="B1006" s="3">
        <v>2012.0</v>
      </c>
      <c r="C1006" s="3">
        <v>1.0</v>
      </c>
      <c r="D1006" s="3" t="s">
        <v>12</v>
      </c>
      <c r="E1006" s="3">
        <v>4.52</v>
      </c>
      <c r="F1006" s="3">
        <v>5.54</v>
      </c>
      <c r="G1006" s="3">
        <v>81.5</v>
      </c>
    </row>
    <row r="1007">
      <c r="A1007" s="2">
        <v>40940.0</v>
      </c>
      <c r="B1007" s="3">
        <v>2012.0</v>
      </c>
      <c r="C1007" s="3">
        <v>2.0</v>
      </c>
      <c r="D1007" s="3" t="s">
        <v>12</v>
      </c>
      <c r="E1007" s="3">
        <v>4.53</v>
      </c>
      <c r="F1007" s="3">
        <v>5.44</v>
      </c>
      <c r="G1007" s="3">
        <v>83.3</v>
      </c>
    </row>
    <row r="1008">
      <c r="A1008" s="2">
        <v>40969.0</v>
      </c>
      <c r="B1008" s="3">
        <v>2012.0</v>
      </c>
      <c r="C1008" s="3">
        <v>3.0</v>
      </c>
      <c r="D1008" s="3" t="s">
        <v>12</v>
      </c>
      <c r="E1008" s="3">
        <v>4.32</v>
      </c>
      <c r="F1008" s="3">
        <v>5.25</v>
      </c>
      <c r="G1008" s="3">
        <v>82.3</v>
      </c>
    </row>
    <row r="1009">
      <c r="A1009" s="2">
        <v>41000.0</v>
      </c>
      <c r="B1009" s="3">
        <v>2012.0</v>
      </c>
      <c r="C1009" s="3">
        <v>4.0</v>
      </c>
      <c r="D1009" s="3" t="s">
        <v>12</v>
      </c>
      <c r="E1009" s="3">
        <v>5.03</v>
      </c>
      <c r="F1009" s="3">
        <v>6.16</v>
      </c>
      <c r="G1009" s="3">
        <v>81.6</v>
      </c>
    </row>
    <row r="1010">
      <c r="A1010" s="2">
        <v>41030.0</v>
      </c>
      <c r="B1010" s="3">
        <v>2012.0</v>
      </c>
      <c r="C1010" s="3">
        <v>5.0</v>
      </c>
      <c r="D1010" s="3" t="s">
        <v>12</v>
      </c>
      <c r="E1010" s="3">
        <v>5.27</v>
      </c>
      <c r="F1010" s="3">
        <v>6.34</v>
      </c>
      <c r="G1010" s="3">
        <v>83.1</v>
      </c>
    </row>
    <row r="1011">
      <c r="A1011" s="2">
        <v>41061.0</v>
      </c>
      <c r="B1011" s="3">
        <v>2012.0</v>
      </c>
      <c r="C1011" s="3">
        <v>6.0</v>
      </c>
      <c r="D1011" s="3" t="s">
        <v>12</v>
      </c>
      <c r="E1011" s="3">
        <v>5.44</v>
      </c>
      <c r="F1011" s="3">
        <v>6.56</v>
      </c>
      <c r="G1011" s="3">
        <v>83.0</v>
      </c>
    </row>
    <row r="1012">
      <c r="A1012" s="2">
        <v>41091.0</v>
      </c>
      <c r="B1012" s="3">
        <v>2012.0</v>
      </c>
      <c r="C1012" s="3">
        <v>7.0</v>
      </c>
      <c r="D1012" s="3" t="s">
        <v>12</v>
      </c>
      <c r="E1012" s="3">
        <v>5.69</v>
      </c>
      <c r="F1012" s="3">
        <v>7.05</v>
      </c>
      <c r="G1012" s="3">
        <v>80.7</v>
      </c>
    </row>
    <row r="1013">
      <c r="A1013" s="2">
        <v>41122.0</v>
      </c>
      <c r="B1013" s="3">
        <v>2012.0</v>
      </c>
      <c r="C1013" s="3">
        <v>8.0</v>
      </c>
      <c r="D1013" s="3" t="s">
        <v>12</v>
      </c>
      <c r="E1013" s="3">
        <v>6.27</v>
      </c>
      <c r="F1013" s="3">
        <v>7.57</v>
      </c>
      <c r="G1013" s="3">
        <v>82.7</v>
      </c>
    </row>
    <row r="1014">
      <c r="A1014" s="2">
        <v>41153.0</v>
      </c>
      <c r="B1014" s="3">
        <v>2012.0</v>
      </c>
      <c r="C1014" s="3">
        <v>9.0</v>
      </c>
      <c r="D1014" s="3" t="s">
        <v>12</v>
      </c>
      <c r="E1014" s="3">
        <v>5.93</v>
      </c>
      <c r="F1014" s="3">
        <v>7.16</v>
      </c>
      <c r="G1014" s="3">
        <v>82.9</v>
      </c>
    </row>
    <row r="1015">
      <c r="A1015" s="4">
        <v>41183.0</v>
      </c>
      <c r="B1015" s="3">
        <v>2012.0</v>
      </c>
      <c r="C1015" s="3">
        <v>10.0</v>
      </c>
      <c r="D1015" s="3" t="s">
        <v>12</v>
      </c>
      <c r="E1015" s="3">
        <v>5.71</v>
      </c>
      <c r="F1015" s="3">
        <v>6.97</v>
      </c>
      <c r="G1015" s="3">
        <v>82.0</v>
      </c>
    </row>
    <row r="1016">
      <c r="A1016" s="4">
        <v>41214.0</v>
      </c>
      <c r="B1016" s="3">
        <v>2012.0</v>
      </c>
      <c r="C1016" s="3">
        <v>11.0</v>
      </c>
      <c r="D1016" s="3" t="s">
        <v>12</v>
      </c>
      <c r="E1016" s="3">
        <v>5.46</v>
      </c>
      <c r="F1016" s="3">
        <v>6.77</v>
      </c>
      <c r="G1016" s="3">
        <v>80.5</v>
      </c>
    </row>
    <row r="1017">
      <c r="A1017" s="4">
        <v>41244.0</v>
      </c>
      <c r="B1017" s="3">
        <v>2012.0</v>
      </c>
      <c r="C1017" s="3">
        <v>12.0</v>
      </c>
      <c r="D1017" s="3" t="s">
        <v>12</v>
      </c>
      <c r="E1017" s="3">
        <v>4.98</v>
      </c>
      <c r="F1017" s="3">
        <v>6.12</v>
      </c>
      <c r="G1017" s="3">
        <v>81.4</v>
      </c>
    </row>
    <row r="1018">
      <c r="A1018" s="2">
        <v>41275.0</v>
      </c>
      <c r="B1018" s="3">
        <v>2013.0</v>
      </c>
      <c r="C1018" s="3">
        <v>1.0</v>
      </c>
      <c r="D1018" s="3" t="s">
        <v>12</v>
      </c>
      <c r="E1018" s="3">
        <v>4.48</v>
      </c>
      <c r="F1018" s="3">
        <v>5.59</v>
      </c>
      <c r="G1018" s="3">
        <v>80.2</v>
      </c>
    </row>
    <row r="1019">
      <c r="A1019" s="2">
        <v>41306.0</v>
      </c>
      <c r="B1019" s="3">
        <v>2013.0</v>
      </c>
      <c r="C1019" s="3">
        <v>2.0</v>
      </c>
      <c r="D1019" s="3" t="s">
        <v>12</v>
      </c>
      <c r="E1019" s="3">
        <v>4.83</v>
      </c>
      <c r="F1019" s="3">
        <v>5.84</v>
      </c>
      <c r="G1019" s="3">
        <v>82.8</v>
      </c>
    </row>
    <row r="1020">
      <c r="A1020" s="2">
        <v>41334.0</v>
      </c>
      <c r="B1020" s="3">
        <v>2013.0</v>
      </c>
      <c r="C1020" s="3">
        <v>3.0</v>
      </c>
      <c r="D1020" s="3" t="s">
        <v>12</v>
      </c>
      <c r="E1020" s="3">
        <v>4.56</v>
      </c>
      <c r="F1020" s="3">
        <v>5.77</v>
      </c>
      <c r="G1020" s="3">
        <v>78.9</v>
      </c>
    </row>
    <row r="1021">
      <c r="A1021" s="2">
        <v>41365.0</v>
      </c>
      <c r="B1021" s="3">
        <v>2013.0</v>
      </c>
      <c r="C1021" s="3">
        <v>4.0</v>
      </c>
      <c r="D1021" s="3" t="s">
        <v>12</v>
      </c>
      <c r="E1021" s="3">
        <v>5.05</v>
      </c>
      <c r="F1021" s="3">
        <v>5.93</v>
      </c>
      <c r="G1021" s="3">
        <v>85.1</v>
      </c>
    </row>
    <row r="1022">
      <c r="A1022" s="2">
        <v>41395.0</v>
      </c>
      <c r="B1022" s="3">
        <v>2013.0</v>
      </c>
      <c r="C1022" s="3">
        <v>5.0</v>
      </c>
      <c r="D1022" s="3" t="s">
        <v>12</v>
      </c>
      <c r="E1022" s="3">
        <v>5.47</v>
      </c>
      <c r="F1022" s="3">
        <v>6.46</v>
      </c>
      <c r="G1022" s="3">
        <v>84.6</v>
      </c>
    </row>
    <row r="1023">
      <c r="A1023" s="2">
        <v>41426.0</v>
      </c>
      <c r="B1023" s="3">
        <v>2013.0</v>
      </c>
      <c r="C1023" s="3">
        <v>6.0</v>
      </c>
      <c r="D1023" s="3" t="s">
        <v>12</v>
      </c>
      <c r="E1023" s="3">
        <v>6.0</v>
      </c>
      <c r="F1023" s="3">
        <v>7.24</v>
      </c>
      <c r="G1023" s="3">
        <v>82.9</v>
      </c>
    </row>
    <row r="1024">
      <c r="A1024" s="2">
        <v>41456.0</v>
      </c>
      <c r="B1024" s="3">
        <v>2013.0</v>
      </c>
      <c r="C1024" s="3">
        <v>7.0</v>
      </c>
      <c r="D1024" s="3" t="s">
        <v>12</v>
      </c>
      <c r="E1024" s="3">
        <v>6.02</v>
      </c>
      <c r="F1024" s="3">
        <v>7.18</v>
      </c>
      <c r="G1024" s="3">
        <v>83.9</v>
      </c>
    </row>
    <row r="1025">
      <c r="A1025" s="2">
        <v>41487.0</v>
      </c>
      <c r="B1025" s="3">
        <v>2013.0</v>
      </c>
      <c r="C1025" s="3">
        <v>8.0</v>
      </c>
      <c r="D1025" s="3" t="s">
        <v>12</v>
      </c>
      <c r="E1025" s="3">
        <v>6.35</v>
      </c>
      <c r="F1025" s="3">
        <v>7.58</v>
      </c>
      <c r="G1025" s="3">
        <v>83.7</v>
      </c>
    </row>
    <row r="1026">
      <c r="A1026" s="2">
        <v>41518.0</v>
      </c>
      <c r="B1026" s="3">
        <v>2013.0</v>
      </c>
      <c r="C1026" s="3">
        <v>9.0</v>
      </c>
      <c r="D1026" s="3" t="s">
        <v>12</v>
      </c>
      <c r="E1026" s="3">
        <v>6.17</v>
      </c>
      <c r="F1026" s="3">
        <v>7.5</v>
      </c>
      <c r="G1026" s="3">
        <v>82.4</v>
      </c>
    </row>
    <row r="1027">
      <c r="A1027" s="4">
        <v>41548.0</v>
      </c>
      <c r="B1027" s="3">
        <v>2013.0</v>
      </c>
      <c r="C1027" s="3">
        <v>10.0</v>
      </c>
      <c r="D1027" s="3" t="s">
        <v>12</v>
      </c>
      <c r="E1027" s="3">
        <v>6.11</v>
      </c>
      <c r="F1027" s="3">
        <v>7.48</v>
      </c>
      <c r="G1027" s="3">
        <v>81.7</v>
      </c>
    </row>
    <row r="1028">
      <c r="A1028" s="4">
        <v>41579.0</v>
      </c>
      <c r="B1028" s="3">
        <v>2013.0</v>
      </c>
      <c r="C1028" s="3">
        <v>11.0</v>
      </c>
      <c r="D1028" s="3" t="s">
        <v>12</v>
      </c>
      <c r="E1028" s="3">
        <v>5.72</v>
      </c>
      <c r="F1028" s="3">
        <v>7.02</v>
      </c>
      <c r="G1028" s="3">
        <v>81.5</v>
      </c>
    </row>
    <row r="1029">
      <c r="A1029" s="4">
        <v>41609.0</v>
      </c>
      <c r="B1029" s="3">
        <v>2013.0</v>
      </c>
      <c r="C1029" s="3">
        <v>12.0</v>
      </c>
      <c r="D1029" s="3" t="s">
        <v>12</v>
      </c>
      <c r="E1029" s="3">
        <v>5.15</v>
      </c>
      <c r="F1029" s="3">
        <v>6.04</v>
      </c>
      <c r="G1029" s="3">
        <v>85.2</v>
      </c>
    </row>
    <row r="1030">
      <c r="A1030" s="2">
        <v>41640.0</v>
      </c>
      <c r="B1030" s="3">
        <v>2014.0</v>
      </c>
      <c r="C1030" s="3">
        <v>1.0</v>
      </c>
      <c r="D1030" s="3" t="s">
        <v>12</v>
      </c>
      <c r="E1030" s="3">
        <v>5.12</v>
      </c>
      <c r="F1030" s="3">
        <v>6.36</v>
      </c>
      <c r="G1030" s="3">
        <v>80.5</v>
      </c>
    </row>
    <row r="1031">
      <c r="A1031" s="2">
        <v>41671.0</v>
      </c>
      <c r="B1031" s="3">
        <v>2014.0</v>
      </c>
      <c r="C1031" s="3">
        <v>2.0</v>
      </c>
      <c r="D1031" s="3" t="s">
        <v>12</v>
      </c>
      <c r="E1031" s="3">
        <v>4.95</v>
      </c>
      <c r="F1031" s="3">
        <v>6.15</v>
      </c>
      <c r="G1031" s="3">
        <v>80.5</v>
      </c>
    </row>
    <row r="1032">
      <c r="A1032" s="2">
        <v>41699.0</v>
      </c>
      <c r="B1032" s="3">
        <v>2014.0</v>
      </c>
      <c r="C1032" s="3">
        <v>3.0</v>
      </c>
      <c r="D1032" s="3" t="s">
        <v>12</v>
      </c>
      <c r="E1032" s="3">
        <v>4.83</v>
      </c>
      <c r="F1032" s="3">
        <v>5.74</v>
      </c>
      <c r="G1032" s="3">
        <v>84.1</v>
      </c>
    </row>
    <row r="1033">
      <c r="A1033" s="2">
        <v>41730.0</v>
      </c>
      <c r="B1033" s="3">
        <v>2014.0</v>
      </c>
      <c r="C1033" s="3">
        <v>4.0</v>
      </c>
      <c r="D1033" s="3" t="s">
        <v>12</v>
      </c>
      <c r="E1033" s="3">
        <v>5.08</v>
      </c>
      <c r="F1033" s="3">
        <v>6.05</v>
      </c>
      <c r="G1033" s="3">
        <v>83.9</v>
      </c>
    </row>
    <row r="1034">
      <c r="A1034" s="2">
        <v>41760.0</v>
      </c>
      <c r="B1034" s="3">
        <v>2014.0</v>
      </c>
      <c r="C1034" s="3">
        <v>5.0</v>
      </c>
      <c r="D1034" s="3" t="s">
        <v>12</v>
      </c>
      <c r="E1034" s="3">
        <v>5.76</v>
      </c>
      <c r="F1034" s="3">
        <v>7.06</v>
      </c>
      <c r="G1034" s="3">
        <v>81.6</v>
      </c>
    </row>
    <row r="1035">
      <c r="A1035" s="2">
        <v>41791.0</v>
      </c>
      <c r="B1035" s="3">
        <v>2014.0</v>
      </c>
      <c r="C1035" s="3">
        <v>6.0</v>
      </c>
      <c r="D1035" s="3" t="s">
        <v>12</v>
      </c>
      <c r="E1035" s="3">
        <v>6.34</v>
      </c>
      <c r="F1035" s="3">
        <v>7.62</v>
      </c>
      <c r="G1035" s="3">
        <v>83.2</v>
      </c>
    </row>
    <row r="1036">
      <c r="A1036" s="2">
        <v>41821.0</v>
      </c>
      <c r="B1036" s="3">
        <v>2014.0</v>
      </c>
      <c r="C1036" s="3">
        <v>7.0</v>
      </c>
      <c r="D1036" s="3" t="s">
        <v>12</v>
      </c>
      <c r="E1036" s="3">
        <v>6.45</v>
      </c>
      <c r="F1036" s="3">
        <v>7.73</v>
      </c>
      <c r="G1036" s="3">
        <v>83.4</v>
      </c>
    </row>
    <row r="1037">
      <c r="A1037" s="2">
        <v>41852.0</v>
      </c>
      <c r="B1037" s="3">
        <v>2014.0</v>
      </c>
      <c r="C1037" s="3">
        <v>8.0</v>
      </c>
      <c r="D1037" s="3" t="s">
        <v>12</v>
      </c>
      <c r="E1037" s="3">
        <v>6.78</v>
      </c>
      <c r="F1037" s="3">
        <v>8.53</v>
      </c>
      <c r="G1037" s="3">
        <v>79.5</v>
      </c>
    </row>
    <row r="1038">
      <c r="A1038" s="2">
        <v>41883.0</v>
      </c>
      <c r="B1038" s="3">
        <v>2014.0</v>
      </c>
      <c r="C1038" s="3">
        <v>9.0</v>
      </c>
      <c r="D1038" s="3" t="s">
        <v>12</v>
      </c>
      <c r="E1038" s="3">
        <v>6.63</v>
      </c>
      <c r="F1038" s="3">
        <v>7.82</v>
      </c>
      <c r="G1038" s="3">
        <v>84.8</v>
      </c>
    </row>
    <row r="1039">
      <c r="A1039" s="4">
        <v>41913.0</v>
      </c>
      <c r="B1039" s="3">
        <v>2014.0</v>
      </c>
      <c r="C1039" s="3">
        <v>10.0</v>
      </c>
      <c r="D1039" s="3" t="s">
        <v>12</v>
      </c>
      <c r="E1039" s="3">
        <v>6.7</v>
      </c>
      <c r="F1039" s="3">
        <v>8.03</v>
      </c>
      <c r="G1039" s="3">
        <v>83.4</v>
      </c>
    </row>
    <row r="1040">
      <c r="A1040" s="4">
        <v>41944.0</v>
      </c>
      <c r="B1040" s="3">
        <v>2014.0</v>
      </c>
      <c r="C1040" s="3">
        <v>11.0</v>
      </c>
      <c r="D1040" s="3" t="s">
        <v>12</v>
      </c>
      <c r="E1040" s="3">
        <v>5.74</v>
      </c>
      <c r="F1040" s="3">
        <v>6.92</v>
      </c>
      <c r="G1040" s="3">
        <v>83.0</v>
      </c>
    </row>
    <row r="1041">
      <c r="A1041" s="4">
        <v>41974.0</v>
      </c>
      <c r="B1041" s="3">
        <v>2014.0</v>
      </c>
      <c r="C1041" s="3">
        <v>12.0</v>
      </c>
      <c r="D1041" s="3" t="s">
        <v>12</v>
      </c>
      <c r="E1041" s="3">
        <v>5.67</v>
      </c>
      <c r="F1041" s="3">
        <v>6.79</v>
      </c>
      <c r="G1041" s="3">
        <v>83.5</v>
      </c>
    </row>
    <row r="1042">
      <c r="A1042" s="2">
        <v>42005.0</v>
      </c>
      <c r="B1042" s="3">
        <v>2015.0</v>
      </c>
      <c r="C1042" s="3">
        <v>1.0</v>
      </c>
      <c r="D1042" s="3" t="s">
        <v>12</v>
      </c>
      <c r="E1042" s="3">
        <v>5.34</v>
      </c>
      <c r="F1042" s="3">
        <v>6.46</v>
      </c>
      <c r="G1042" s="3">
        <v>82.7</v>
      </c>
    </row>
    <row r="1043">
      <c r="A1043" s="2">
        <v>42036.0</v>
      </c>
      <c r="B1043" s="3">
        <v>2015.0</v>
      </c>
      <c r="C1043" s="3">
        <v>2.0</v>
      </c>
      <c r="D1043" s="3" t="s">
        <v>12</v>
      </c>
      <c r="E1043" s="3">
        <v>5.11</v>
      </c>
      <c r="F1043" s="3">
        <v>6.32</v>
      </c>
      <c r="G1043" s="3">
        <v>80.8</v>
      </c>
    </row>
    <row r="1044">
      <c r="A1044" s="2">
        <v>42064.0</v>
      </c>
      <c r="B1044" s="3">
        <v>2015.0</v>
      </c>
      <c r="C1044" s="3">
        <v>3.0</v>
      </c>
      <c r="D1044" s="3" t="s">
        <v>12</v>
      </c>
      <c r="E1044" s="3">
        <v>4.97</v>
      </c>
      <c r="F1044" s="3">
        <v>6.01</v>
      </c>
      <c r="G1044" s="3">
        <v>82.7</v>
      </c>
    </row>
    <row r="1045">
      <c r="A1045" s="2">
        <v>42095.0</v>
      </c>
      <c r="B1045" s="3">
        <v>2015.0</v>
      </c>
      <c r="C1045" s="3">
        <v>4.0</v>
      </c>
      <c r="D1045" s="3" t="s">
        <v>12</v>
      </c>
      <c r="E1045" s="3">
        <v>5.64</v>
      </c>
      <c r="F1045" s="3">
        <v>6.78</v>
      </c>
      <c r="G1045" s="3">
        <v>83.1</v>
      </c>
    </row>
    <row r="1046">
      <c r="A1046" s="2">
        <v>42125.0</v>
      </c>
      <c r="B1046" s="3">
        <v>2015.0</v>
      </c>
      <c r="C1046" s="3">
        <v>5.0</v>
      </c>
      <c r="D1046" s="3" t="s">
        <v>12</v>
      </c>
      <c r="E1046" s="3">
        <v>5.84</v>
      </c>
      <c r="F1046" s="3">
        <v>7.02</v>
      </c>
      <c r="G1046" s="3">
        <v>83.3</v>
      </c>
    </row>
    <row r="1047">
      <c r="A1047" s="2">
        <v>42156.0</v>
      </c>
      <c r="B1047" s="3">
        <v>2015.0</v>
      </c>
      <c r="C1047" s="3">
        <v>6.0</v>
      </c>
      <c r="D1047" s="3" t="s">
        <v>12</v>
      </c>
      <c r="E1047" s="3">
        <v>6.98</v>
      </c>
      <c r="F1047" s="3">
        <v>8.49</v>
      </c>
      <c r="G1047" s="3">
        <v>82.2</v>
      </c>
    </row>
    <row r="1048">
      <c r="A1048" s="2">
        <v>42186.0</v>
      </c>
      <c r="B1048" s="3">
        <v>2015.0</v>
      </c>
      <c r="C1048" s="3">
        <v>7.0</v>
      </c>
      <c r="D1048" s="3" t="s">
        <v>12</v>
      </c>
      <c r="E1048" s="3">
        <v>6.91</v>
      </c>
      <c r="F1048" s="3">
        <v>8.36</v>
      </c>
      <c r="G1048" s="3">
        <v>82.6</v>
      </c>
    </row>
    <row r="1049">
      <c r="A1049" s="2">
        <v>42217.0</v>
      </c>
      <c r="B1049" s="3">
        <v>2015.0</v>
      </c>
      <c r="C1049" s="3">
        <v>8.0</v>
      </c>
      <c r="D1049" s="3" t="s">
        <v>12</v>
      </c>
      <c r="E1049" s="3">
        <v>7.51</v>
      </c>
      <c r="F1049" s="3">
        <v>9.4</v>
      </c>
      <c r="G1049" s="3">
        <v>80.0</v>
      </c>
    </row>
    <row r="1050">
      <c r="A1050" s="2">
        <v>42248.0</v>
      </c>
      <c r="B1050" s="3">
        <v>2015.0</v>
      </c>
      <c r="C1050" s="3">
        <v>9.0</v>
      </c>
      <c r="D1050" s="3" t="s">
        <v>12</v>
      </c>
      <c r="E1050" s="3">
        <v>7.01</v>
      </c>
      <c r="F1050" s="3">
        <v>8.72</v>
      </c>
      <c r="G1050" s="3">
        <v>80.4</v>
      </c>
    </row>
    <row r="1051">
      <c r="A1051" s="4">
        <v>42278.0</v>
      </c>
      <c r="B1051" s="3">
        <v>2015.0</v>
      </c>
      <c r="C1051" s="3">
        <v>10.0</v>
      </c>
      <c r="D1051" s="3" t="s">
        <v>12</v>
      </c>
      <c r="E1051" s="3">
        <v>6.54</v>
      </c>
      <c r="F1051" s="3">
        <v>7.99</v>
      </c>
      <c r="G1051" s="3">
        <v>81.9</v>
      </c>
    </row>
    <row r="1052">
      <c r="A1052" s="4">
        <v>42309.0</v>
      </c>
      <c r="B1052" s="3">
        <v>2015.0</v>
      </c>
      <c r="C1052" s="3">
        <v>11.0</v>
      </c>
      <c r="D1052" s="3" t="s">
        <v>12</v>
      </c>
      <c r="E1052" s="3">
        <v>6.46</v>
      </c>
      <c r="F1052" s="3">
        <v>7.55</v>
      </c>
      <c r="G1052" s="3">
        <v>85.6</v>
      </c>
    </row>
    <row r="1053">
      <c r="A1053" s="4">
        <v>42339.0</v>
      </c>
      <c r="B1053" s="3">
        <v>2015.0</v>
      </c>
      <c r="C1053" s="3">
        <v>12.0</v>
      </c>
      <c r="D1053" s="3" t="s">
        <v>12</v>
      </c>
      <c r="E1053" s="3">
        <v>5.84</v>
      </c>
      <c r="F1053" s="3">
        <v>7.19</v>
      </c>
      <c r="G1053" s="3">
        <v>81.2</v>
      </c>
    </row>
    <row r="1054">
      <c r="A1054" s="2">
        <v>42370.0</v>
      </c>
      <c r="B1054" s="3">
        <v>2016.0</v>
      </c>
      <c r="C1054" s="3">
        <v>1.0</v>
      </c>
      <c r="D1054" s="3" t="s">
        <v>12</v>
      </c>
      <c r="E1054" s="3">
        <v>5.86</v>
      </c>
      <c r="F1054" s="3">
        <v>7.22</v>
      </c>
      <c r="G1054" s="3">
        <v>81.1</v>
      </c>
    </row>
    <row r="1055">
      <c r="A1055" s="2">
        <v>42401.0</v>
      </c>
      <c r="B1055" s="3">
        <v>2016.0</v>
      </c>
      <c r="C1055" s="3">
        <v>2.0</v>
      </c>
      <c r="D1055" s="3" t="s">
        <v>12</v>
      </c>
      <c r="E1055" s="3">
        <v>5.24</v>
      </c>
      <c r="F1055" s="3">
        <v>6.68</v>
      </c>
      <c r="G1055" s="3">
        <v>78.5</v>
      </c>
    </row>
    <row r="1056">
      <c r="A1056" s="2">
        <v>42430.0</v>
      </c>
      <c r="B1056" s="3">
        <v>2016.0</v>
      </c>
      <c r="C1056" s="3">
        <v>3.0</v>
      </c>
      <c r="D1056" s="3" t="s">
        <v>12</v>
      </c>
      <c r="E1056" s="3">
        <v>5.71</v>
      </c>
      <c r="F1056" s="3">
        <v>6.8</v>
      </c>
      <c r="G1056" s="3">
        <v>83.9</v>
      </c>
    </row>
    <row r="1057">
      <c r="A1057" s="2">
        <v>42461.0</v>
      </c>
      <c r="B1057" s="3">
        <v>2016.0</v>
      </c>
      <c r="C1057" s="3">
        <v>4.0</v>
      </c>
      <c r="D1057" s="3" t="s">
        <v>12</v>
      </c>
      <c r="E1057" s="3">
        <v>6.28</v>
      </c>
      <c r="F1057" s="3">
        <v>7.93</v>
      </c>
      <c r="G1057" s="3">
        <v>79.2</v>
      </c>
    </row>
    <row r="1058">
      <c r="A1058" s="2">
        <v>42491.0</v>
      </c>
      <c r="B1058" s="3">
        <v>2016.0</v>
      </c>
      <c r="C1058" s="3">
        <v>5.0</v>
      </c>
      <c r="D1058" s="3" t="s">
        <v>12</v>
      </c>
      <c r="E1058" s="3">
        <v>6.62</v>
      </c>
      <c r="F1058" s="3">
        <v>8.06</v>
      </c>
      <c r="G1058" s="3">
        <v>82.1</v>
      </c>
    </row>
    <row r="1059">
      <c r="A1059" s="2">
        <v>42522.0</v>
      </c>
      <c r="B1059" s="3">
        <v>2016.0</v>
      </c>
      <c r="C1059" s="3">
        <v>6.0</v>
      </c>
      <c r="D1059" s="3" t="s">
        <v>12</v>
      </c>
      <c r="E1059" s="3">
        <v>7.0</v>
      </c>
      <c r="F1059" s="3">
        <v>8.89</v>
      </c>
      <c r="G1059" s="3">
        <v>78.7</v>
      </c>
    </row>
    <row r="1060">
      <c r="A1060" s="2">
        <v>42552.0</v>
      </c>
      <c r="B1060" s="3">
        <v>2016.0</v>
      </c>
      <c r="C1060" s="3">
        <v>7.0</v>
      </c>
      <c r="D1060" s="3" t="s">
        <v>12</v>
      </c>
      <c r="E1060" s="3">
        <v>7.53</v>
      </c>
      <c r="F1060" s="3">
        <v>9.01</v>
      </c>
      <c r="G1060" s="3">
        <v>83.6</v>
      </c>
    </row>
    <row r="1061">
      <c r="A1061" s="2">
        <v>42583.0</v>
      </c>
      <c r="B1061" s="3">
        <v>2016.0</v>
      </c>
      <c r="C1061" s="3">
        <v>8.0</v>
      </c>
      <c r="D1061" s="3" t="s">
        <v>12</v>
      </c>
      <c r="E1061" s="3">
        <v>7.35</v>
      </c>
      <c r="F1061" s="3">
        <v>8.82</v>
      </c>
      <c r="G1061" s="3">
        <v>83.3</v>
      </c>
    </row>
    <row r="1062">
      <c r="A1062" s="2">
        <v>42614.0</v>
      </c>
      <c r="B1062" s="3">
        <v>2016.0</v>
      </c>
      <c r="C1062" s="3">
        <v>9.0</v>
      </c>
      <c r="D1062" s="3" t="s">
        <v>12</v>
      </c>
      <c r="E1062" s="3">
        <v>7.09</v>
      </c>
      <c r="F1062" s="3">
        <v>8.76</v>
      </c>
      <c r="G1062" s="3">
        <v>80.8</v>
      </c>
    </row>
    <row r="1063">
      <c r="A1063" s="4">
        <v>42644.0</v>
      </c>
      <c r="B1063" s="3">
        <v>2016.0</v>
      </c>
      <c r="C1063" s="3">
        <v>10.0</v>
      </c>
      <c r="D1063" s="3" t="s">
        <v>12</v>
      </c>
      <c r="E1063" s="3">
        <v>6.82</v>
      </c>
      <c r="F1063" s="3">
        <v>8.72</v>
      </c>
      <c r="G1063" s="3">
        <v>78.3</v>
      </c>
    </row>
    <row r="1064">
      <c r="A1064" s="4">
        <v>42675.0</v>
      </c>
      <c r="B1064" s="3">
        <v>2016.0</v>
      </c>
      <c r="C1064" s="3">
        <v>11.0</v>
      </c>
      <c r="D1064" s="3" t="s">
        <v>12</v>
      </c>
      <c r="E1064" s="3">
        <v>6.63</v>
      </c>
      <c r="F1064" s="3">
        <v>7.85</v>
      </c>
      <c r="G1064" s="3">
        <v>84.4</v>
      </c>
    </row>
    <row r="1065">
      <c r="A1065" s="4">
        <v>42705.0</v>
      </c>
      <c r="B1065" s="3">
        <v>2016.0</v>
      </c>
      <c r="C1065" s="3">
        <v>12.0</v>
      </c>
      <c r="D1065" s="3" t="s">
        <v>12</v>
      </c>
      <c r="E1065" s="3">
        <v>5.87</v>
      </c>
      <c r="F1065" s="3">
        <v>7.1</v>
      </c>
      <c r="G1065" s="3">
        <v>82.7</v>
      </c>
    </row>
    <row r="1066">
      <c r="A1066" s="2">
        <v>42736.0</v>
      </c>
      <c r="B1066" s="3">
        <v>2017.0</v>
      </c>
      <c r="C1066" s="3">
        <v>1.0</v>
      </c>
      <c r="D1066" s="3" t="s">
        <v>12</v>
      </c>
      <c r="E1066" s="3">
        <v>5.61</v>
      </c>
      <c r="F1066" s="3">
        <v>6.79</v>
      </c>
      <c r="G1066" s="3">
        <v>82.7</v>
      </c>
    </row>
    <row r="1067">
      <c r="A1067" s="2">
        <v>42767.0</v>
      </c>
      <c r="B1067" s="3">
        <v>2017.0</v>
      </c>
      <c r="C1067" s="3">
        <v>2.0</v>
      </c>
      <c r="D1067" s="3" t="s">
        <v>12</v>
      </c>
      <c r="E1067" s="3">
        <v>5.44</v>
      </c>
      <c r="F1067" s="3">
        <v>6.78</v>
      </c>
      <c r="G1067" s="3">
        <v>80.2</v>
      </c>
    </row>
    <row r="1068">
      <c r="A1068" s="2">
        <v>42795.0</v>
      </c>
      <c r="B1068" s="3">
        <v>2017.0</v>
      </c>
      <c r="C1068" s="3">
        <v>3.0</v>
      </c>
      <c r="D1068" s="3" t="s">
        <v>12</v>
      </c>
      <c r="E1068" s="3">
        <v>5.87</v>
      </c>
      <c r="F1068" s="3">
        <v>7.18</v>
      </c>
      <c r="G1068" s="3">
        <v>81.9</v>
      </c>
    </row>
    <row r="1069">
      <c r="A1069" s="2">
        <v>42826.0</v>
      </c>
      <c r="B1069" s="3">
        <v>2017.0</v>
      </c>
      <c r="C1069" s="3">
        <v>4.0</v>
      </c>
      <c r="D1069" s="3" t="s">
        <v>12</v>
      </c>
      <c r="E1069" s="3">
        <v>6.45</v>
      </c>
      <c r="F1069" s="3">
        <v>7.86</v>
      </c>
      <c r="G1069" s="3">
        <v>82.1</v>
      </c>
    </row>
    <row r="1070">
      <c r="A1070" s="2">
        <v>42856.0</v>
      </c>
      <c r="B1070" s="3">
        <v>2017.0</v>
      </c>
      <c r="C1070" s="3">
        <v>5.0</v>
      </c>
      <c r="D1070" s="3" t="s">
        <v>12</v>
      </c>
      <c r="E1070" s="3">
        <v>6.4</v>
      </c>
      <c r="F1070" s="3">
        <v>7.58</v>
      </c>
      <c r="G1070" s="3">
        <v>84.5</v>
      </c>
    </row>
    <row r="1071">
      <c r="A1071" s="2">
        <v>42887.0</v>
      </c>
      <c r="B1071" s="3">
        <v>2017.0</v>
      </c>
      <c r="C1071" s="3">
        <v>6.0</v>
      </c>
      <c r="D1071" s="3" t="s">
        <v>12</v>
      </c>
      <c r="E1071" s="3">
        <v>7.24</v>
      </c>
      <c r="F1071" s="3">
        <v>8.67</v>
      </c>
      <c r="G1071" s="3">
        <v>83.5</v>
      </c>
    </row>
    <row r="1072">
      <c r="A1072" s="2">
        <v>42917.0</v>
      </c>
      <c r="B1072" s="3">
        <v>2017.0</v>
      </c>
      <c r="C1072" s="3">
        <v>7.0</v>
      </c>
      <c r="D1072" s="3" t="s">
        <v>12</v>
      </c>
      <c r="E1072" s="3">
        <v>7.76</v>
      </c>
      <c r="F1072" s="3">
        <v>9.61</v>
      </c>
      <c r="G1072" s="3">
        <v>80.7</v>
      </c>
    </row>
    <row r="1073">
      <c r="A1073" s="2">
        <v>42948.0</v>
      </c>
      <c r="B1073" s="3">
        <v>2017.0</v>
      </c>
      <c r="C1073" s="3">
        <v>8.0</v>
      </c>
      <c r="D1073" s="3" t="s">
        <v>12</v>
      </c>
      <c r="E1073" s="3">
        <v>7.61</v>
      </c>
      <c r="F1073" s="3">
        <v>9.32</v>
      </c>
      <c r="G1073" s="3">
        <v>81.7</v>
      </c>
    </row>
    <row r="1074">
      <c r="A1074" s="2">
        <v>42979.0</v>
      </c>
      <c r="B1074" s="3">
        <v>2017.0</v>
      </c>
      <c r="C1074" s="3">
        <v>9.0</v>
      </c>
      <c r="D1074" s="3" t="s">
        <v>12</v>
      </c>
      <c r="E1074" s="3">
        <v>7.25</v>
      </c>
      <c r="F1074" s="3">
        <v>8.89</v>
      </c>
      <c r="G1074" s="3">
        <v>81.5</v>
      </c>
    </row>
    <row r="1075">
      <c r="A1075" s="4">
        <v>43009.0</v>
      </c>
      <c r="B1075" s="3">
        <v>2017.0</v>
      </c>
      <c r="C1075" s="3">
        <v>10.0</v>
      </c>
      <c r="D1075" s="3" t="s">
        <v>12</v>
      </c>
      <c r="E1075" s="3">
        <v>7.48</v>
      </c>
      <c r="F1075" s="3">
        <v>9.07</v>
      </c>
      <c r="G1075" s="3">
        <v>82.5</v>
      </c>
    </row>
    <row r="1076">
      <c r="A1076" s="4">
        <v>43040.0</v>
      </c>
      <c r="B1076" s="3">
        <v>2017.0</v>
      </c>
      <c r="C1076" s="3">
        <v>11.0</v>
      </c>
      <c r="D1076" s="3" t="s">
        <v>12</v>
      </c>
      <c r="E1076" s="3">
        <v>6.44</v>
      </c>
      <c r="F1076" s="3">
        <v>8.17</v>
      </c>
      <c r="G1076" s="3">
        <v>78.9</v>
      </c>
    </row>
    <row r="1077">
      <c r="A1077" s="4">
        <v>43070.0</v>
      </c>
      <c r="B1077" s="3">
        <v>2017.0</v>
      </c>
      <c r="C1077" s="3">
        <v>12.0</v>
      </c>
      <c r="D1077" s="3" t="s">
        <v>12</v>
      </c>
      <c r="E1077" s="3">
        <v>6.54</v>
      </c>
      <c r="F1077" s="3">
        <v>8.0</v>
      </c>
      <c r="G1077" s="3">
        <v>81.8</v>
      </c>
    </row>
    <row r="1078">
      <c r="A1078" s="2">
        <v>43101.0</v>
      </c>
      <c r="B1078" s="3">
        <v>2018.0</v>
      </c>
      <c r="C1078" s="3">
        <v>1.0</v>
      </c>
      <c r="D1078" s="3" t="s">
        <v>12</v>
      </c>
      <c r="E1078" s="3">
        <v>5.76</v>
      </c>
      <c r="F1078" s="3">
        <v>7.07</v>
      </c>
      <c r="G1078" s="3">
        <v>81.5</v>
      </c>
    </row>
    <row r="1079">
      <c r="A1079" s="2">
        <v>43132.0</v>
      </c>
      <c r="B1079" s="3">
        <v>2018.0</v>
      </c>
      <c r="C1079" s="3">
        <v>2.0</v>
      </c>
      <c r="D1079" s="3" t="s">
        <v>12</v>
      </c>
      <c r="E1079" s="3">
        <v>5.51</v>
      </c>
      <c r="F1079" s="3">
        <v>6.49</v>
      </c>
      <c r="G1079" s="3">
        <v>84.8</v>
      </c>
    </row>
    <row r="1080">
      <c r="A1080" s="2">
        <v>43160.0</v>
      </c>
      <c r="B1080" s="3">
        <v>2018.0</v>
      </c>
      <c r="C1080" s="3">
        <v>3.0</v>
      </c>
      <c r="D1080" s="3" t="s">
        <v>12</v>
      </c>
      <c r="E1080" s="3">
        <v>5.84</v>
      </c>
      <c r="F1080" s="3">
        <v>6.89</v>
      </c>
      <c r="G1080" s="3">
        <v>84.7</v>
      </c>
    </row>
    <row r="1081">
      <c r="A1081" s="2">
        <v>43191.0</v>
      </c>
      <c r="B1081" s="3">
        <v>2018.0</v>
      </c>
      <c r="C1081" s="3">
        <v>4.0</v>
      </c>
      <c r="D1081" s="3" t="s">
        <v>12</v>
      </c>
      <c r="E1081" s="3">
        <v>6.31</v>
      </c>
      <c r="F1081" s="3">
        <v>7.44</v>
      </c>
      <c r="G1081" s="3">
        <v>84.9</v>
      </c>
    </row>
    <row r="1082">
      <c r="A1082" s="2">
        <v>43221.0</v>
      </c>
      <c r="B1082" s="3">
        <v>2018.0</v>
      </c>
      <c r="C1082" s="3">
        <v>5.0</v>
      </c>
      <c r="D1082" s="3" t="s">
        <v>12</v>
      </c>
      <c r="E1082" s="3">
        <v>6.89</v>
      </c>
      <c r="F1082" s="3">
        <v>8.23</v>
      </c>
      <c r="G1082" s="3">
        <v>83.7</v>
      </c>
    </row>
    <row r="1083">
      <c r="A1083" s="2">
        <v>43252.0</v>
      </c>
      <c r="B1083" s="3">
        <v>2018.0</v>
      </c>
      <c r="C1083" s="3">
        <v>6.0</v>
      </c>
      <c r="D1083" s="3" t="s">
        <v>12</v>
      </c>
      <c r="E1083" s="3">
        <v>7.53</v>
      </c>
      <c r="F1083" s="3">
        <v>9.04</v>
      </c>
      <c r="G1083" s="3">
        <v>83.2</v>
      </c>
    </row>
    <row r="1084">
      <c r="A1084" s="2">
        <v>43282.0</v>
      </c>
      <c r="B1084" s="3">
        <v>2018.0</v>
      </c>
      <c r="C1084" s="3">
        <v>7.0</v>
      </c>
      <c r="D1084" s="3" t="s">
        <v>12</v>
      </c>
      <c r="E1084" s="3">
        <v>7.85</v>
      </c>
      <c r="F1084" s="3">
        <v>9.63</v>
      </c>
      <c r="G1084" s="3">
        <v>81.5</v>
      </c>
    </row>
    <row r="1085">
      <c r="A1085" s="2">
        <v>43313.0</v>
      </c>
      <c r="B1085" s="3">
        <v>2018.0</v>
      </c>
      <c r="C1085" s="3">
        <v>8.0</v>
      </c>
      <c r="D1085" s="3" t="s">
        <v>12</v>
      </c>
      <c r="E1085" s="3">
        <v>8.4</v>
      </c>
      <c r="F1085" s="3">
        <v>10.47</v>
      </c>
      <c r="G1085" s="3">
        <v>80.2</v>
      </c>
    </row>
    <row r="1086">
      <c r="A1086" s="2">
        <v>43344.0</v>
      </c>
      <c r="B1086" s="3">
        <v>2018.0</v>
      </c>
      <c r="C1086" s="3">
        <v>9.0</v>
      </c>
      <c r="D1086" s="3" t="s">
        <v>12</v>
      </c>
      <c r="E1086" s="3">
        <v>7.82</v>
      </c>
      <c r="F1086" s="3">
        <v>9.53</v>
      </c>
      <c r="G1086" s="3">
        <v>82.0</v>
      </c>
    </row>
    <row r="1087">
      <c r="A1087" s="4">
        <v>43374.0</v>
      </c>
      <c r="B1087" s="3">
        <v>2018.0</v>
      </c>
      <c r="C1087" s="3">
        <v>10.0</v>
      </c>
      <c r="D1087" s="3" t="s">
        <v>12</v>
      </c>
      <c r="E1087" s="3">
        <v>7.55</v>
      </c>
      <c r="F1087" s="3">
        <v>9.3</v>
      </c>
      <c r="G1087" s="3">
        <v>81.1</v>
      </c>
    </row>
    <row r="1088">
      <c r="A1088" s="4">
        <v>43405.0</v>
      </c>
      <c r="B1088" s="3">
        <v>2018.0</v>
      </c>
      <c r="C1088" s="3">
        <v>11.0</v>
      </c>
      <c r="D1088" s="3" t="s">
        <v>12</v>
      </c>
      <c r="E1088" s="3">
        <v>7.02</v>
      </c>
      <c r="F1088" s="3">
        <v>8.6</v>
      </c>
      <c r="G1088" s="3">
        <v>81.7</v>
      </c>
    </row>
    <row r="1089">
      <c r="A1089" s="4">
        <v>43435.0</v>
      </c>
      <c r="B1089" s="3">
        <v>2018.0</v>
      </c>
      <c r="C1089" s="3">
        <v>12.0</v>
      </c>
      <c r="D1089" s="3" t="s">
        <v>12</v>
      </c>
      <c r="E1089" s="3">
        <v>6.16</v>
      </c>
      <c r="F1089" s="3">
        <v>7.51</v>
      </c>
      <c r="G1089" s="3">
        <v>82.0</v>
      </c>
    </row>
    <row r="1090">
      <c r="A1090" s="2">
        <v>43466.0</v>
      </c>
      <c r="B1090" s="3">
        <v>2019.0</v>
      </c>
      <c r="C1090" s="3">
        <v>1.0</v>
      </c>
      <c r="D1090" s="3" t="s">
        <v>12</v>
      </c>
      <c r="E1090" s="3">
        <v>5.89</v>
      </c>
      <c r="F1090" s="3">
        <v>7.5</v>
      </c>
      <c r="G1090" s="3">
        <v>78.5</v>
      </c>
    </row>
    <row r="1091">
      <c r="A1091" s="2">
        <v>43497.0</v>
      </c>
      <c r="B1091" s="3">
        <v>2019.0</v>
      </c>
      <c r="C1091" s="3">
        <v>2.0</v>
      </c>
      <c r="D1091" s="3" t="s">
        <v>12</v>
      </c>
      <c r="E1091" s="3">
        <v>5.65</v>
      </c>
      <c r="F1091" s="3">
        <v>6.81</v>
      </c>
      <c r="G1091" s="3">
        <v>83.0</v>
      </c>
    </row>
    <row r="1092">
      <c r="A1092" s="2">
        <v>43525.0</v>
      </c>
      <c r="B1092" s="3">
        <v>2019.0</v>
      </c>
      <c r="C1092" s="3">
        <v>3.0</v>
      </c>
      <c r="D1092" s="3" t="s">
        <v>12</v>
      </c>
      <c r="E1092" s="3">
        <v>5.52</v>
      </c>
      <c r="F1092" s="3">
        <v>6.65</v>
      </c>
      <c r="G1092" s="3">
        <v>83.1</v>
      </c>
    </row>
    <row r="1093">
      <c r="A1093" s="2">
        <v>43556.0</v>
      </c>
      <c r="B1093" s="3">
        <v>2019.0</v>
      </c>
      <c r="C1093" s="3">
        <v>4.0</v>
      </c>
      <c r="D1093" s="3" t="s">
        <v>12</v>
      </c>
      <c r="E1093" s="3">
        <v>5.13</v>
      </c>
      <c r="F1093" s="3">
        <v>6.47</v>
      </c>
      <c r="G1093" s="3">
        <v>79.3</v>
      </c>
    </row>
    <row r="1094">
      <c r="A1094" s="2">
        <v>43586.0</v>
      </c>
      <c r="B1094" s="3">
        <v>2019.0</v>
      </c>
      <c r="C1094" s="3">
        <v>5.0</v>
      </c>
      <c r="D1094" s="3" t="s">
        <v>12</v>
      </c>
      <c r="E1094" s="3">
        <v>5.84</v>
      </c>
      <c r="F1094" s="3">
        <v>7.3</v>
      </c>
      <c r="G1094" s="3">
        <v>79.9</v>
      </c>
    </row>
    <row r="1095">
      <c r="A1095" s="2">
        <v>43617.0</v>
      </c>
      <c r="B1095" s="3">
        <v>2019.0</v>
      </c>
      <c r="C1095" s="3">
        <v>6.0</v>
      </c>
      <c r="D1095" s="3" t="s">
        <v>12</v>
      </c>
      <c r="E1095" s="3">
        <v>5.61</v>
      </c>
      <c r="F1095" s="3">
        <v>6.96</v>
      </c>
      <c r="G1095" s="3">
        <v>80.6</v>
      </c>
    </row>
    <row r="1096">
      <c r="A1096" s="2">
        <v>43647.0</v>
      </c>
      <c r="B1096" s="3">
        <v>2019.0</v>
      </c>
      <c r="C1096" s="3">
        <v>7.0</v>
      </c>
      <c r="D1096" s="3" t="s">
        <v>12</v>
      </c>
      <c r="E1096" s="3">
        <v>5.38</v>
      </c>
      <c r="F1096" s="3">
        <v>6.66</v>
      </c>
      <c r="G1096" s="3">
        <v>80.7</v>
      </c>
    </row>
    <row r="1097">
      <c r="A1097" s="2">
        <v>43678.0</v>
      </c>
      <c r="B1097" s="3">
        <v>2019.0</v>
      </c>
      <c r="C1097" s="3">
        <v>8.0</v>
      </c>
      <c r="D1097" s="3" t="s">
        <v>12</v>
      </c>
      <c r="E1097" s="3">
        <v>5.12</v>
      </c>
      <c r="F1097" s="3">
        <v>6.22</v>
      </c>
      <c r="G1097" s="3">
        <v>82.3</v>
      </c>
    </row>
    <row r="1098">
      <c r="A1098" s="2">
        <v>43709.0</v>
      </c>
      <c r="B1098" s="3">
        <v>2019.0</v>
      </c>
      <c r="C1098" s="3">
        <v>9.0</v>
      </c>
      <c r="D1098" s="3" t="s">
        <v>12</v>
      </c>
      <c r="E1098" s="3">
        <v>4.46</v>
      </c>
      <c r="F1098" s="3">
        <v>5.58</v>
      </c>
      <c r="G1098" s="3">
        <v>79.9</v>
      </c>
    </row>
    <row r="1099">
      <c r="A1099" s="4">
        <v>43739.0</v>
      </c>
      <c r="B1099" s="3">
        <v>2019.0</v>
      </c>
      <c r="C1099" s="3">
        <v>10.0</v>
      </c>
      <c r="D1099" s="3" t="s">
        <v>12</v>
      </c>
      <c r="E1099" s="3">
        <v>3.93</v>
      </c>
      <c r="F1099" s="3">
        <v>4.94</v>
      </c>
      <c r="G1099" s="3">
        <v>79.6</v>
      </c>
    </row>
    <row r="1100">
      <c r="A1100" s="4">
        <v>43770.0</v>
      </c>
      <c r="B1100" s="3">
        <v>2019.0</v>
      </c>
      <c r="C1100" s="3">
        <v>11.0</v>
      </c>
      <c r="D1100" s="3" t="s">
        <v>12</v>
      </c>
      <c r="E1100" s="3">
        <v>3.29</v>
      </c>
      <c r="F1100" s="3">
        <v>3.77</v>
      </c>
      <c r="G1100" s="3">
        <v>87.3</v>
      </c>
    </row>
    <row r="1101">
      <c r="A1101" s="4">
        <v>43800.0</v>
      </c>
      <c r="B1101" s="3">
        <v>2019.0</v>
      </c>
      <c r="C1101" s="3">
        <v>12.0</v>
      </c>
      <c r="D1101" s="3" t="s">
        <v>12</v>
      </c>
      <c r="E1101" s="3">
        <v>2.77</v>
      </c>
      <c r="F1101" s="3">
        <v>3.32</v>
      </c>
      <c r="G1101" s="3">
        <v>83.4</v>
      </c>
    </row>
    <row r="1102">
      <c r="A1102" s="2">
        <v>43831.0</v>
      </c>
      <c r="B1102" s="3">
        <v>2020.0</v>
      </c>
      <c r="C1102" s="3">
        <v>1.0</v>
      </c>
      <c r="D1102" s="3" t="s">
        <v>12</v>
      </c>
      <c r="E1102" s="3">
        <v>2.17</v>
      </c>
      <c r="F1102" s="3">
        <v>2.78</v>
      </c>
      <c r="G1102" s="3">
        <v>78.1</v>
      </c>
    </row>
    <row r="1103">
      <c r="A1103" s="2">
        <v>43862.0</v>
      </c>
      <c r="B1103" s="3">
        <v>2020.0</v>
      </c>
      <c r="C1103" s="3">
        <v>2.0</v>
      </c>
      <c r="D1103" s="3" t="s">
        <v>12</v>
      </c>
      <c r="E1103" s="3">
        <v>2.13</v>
      </c>
      <c r="F1103" s="3">
        <v>2.52</v>
      </c>
      <c r="G1103" s="3">
        <v>84.6</v>
      </c>
    </row>
    <row r="1104">
      <c r="A1104" s="2">
        <v>43891.0</v>
      </c>
      <c r="B1104" s="3">
        <v>2020.0</v>
      </c>
      <c r="C1104" s="3">
        <v>3.0</v>
      </c>
      <c r="D1104" s="3" t="s">
        <v>12</v>
      </c>
      <c r="E1104" s="3">
        <v>0.5</v>
      </c>
      <c r="F1104" s="3">
        <v>0.91</v>
      </c>
      <c r="G1104" s="3">
        <v>55.0</v>
      </c>
    </row>
    <row r="1105">
      <c r="A1105" s="2">
        <v>43922.0</v>
      </c>
      <c r="B1105" s="3">
        <v>2020.0</v>
      </c>
      <c r="C1105" s="3">
        <v>4.0</v>
      </c>
      <c r="D1105" s="3" t="s">
        <v>12</v>
      </c>
      <c r="E1105" s="3">
        <v>0.5</v>
      </c>
      <c r="F1105" s="3">
        <v>0.91</v>
      </c>
      <c r="G1105" s="3">
        <v>55.0</v>
      </c>
    </row>
    <row r="1106">
      <c r="A1106" s="2">
        <v>43952.0</v>
      </c>
      <c r="B1106" s="3">
        <v>2020.0</v>
      </c>
      <c r="C1106" s="3">
        <v>5.0</v>
      </c>
      <c r="D1106" s="3" t="s">
        <v>12</v>
      </c>
      <c r="E1106" s="3">
        <v>0.5</v>
      </c>
      <c r="F1106" s="3">
        <v>0.91</v>
      </c>
      <c r="G1106" s="3">
        <v>55.0</v>
      </c>
    </row>
    <row r="1107">
      <c r="A1107" s="2">
        <v>43983.0</v>
      </c>
      <c r="B1107" s="3">
        <v>2020.0</v>
      </c>
      <c r="C1107" s="3">
        <v>6.0</v>
      </c>
      <c r="D1107" s="3" t="s">
        <v>12</v>
      </c>
      <c r="E1107" s="3">
        <v>0.5</v>
      </c>
      <c r="F1107" s="3">
        <v>0.91</v>
      </c>
      <c r="G1107" s="3">
        <v>55.0</v>
      </c>
    </row>
    <row r="1108">
      <c r="A1108" s="2">
        <v>44013.0</v>
      </c>
      <c r="B1108" s="3">
        <v>2020.0</v>
      </c>
      <c r="C1108" s="3">
        <v>7.0</v>
      </c>
      <c r="D1108" s="3" t="s">
        <v>12</v>
      </c>
      <c r="E1108" s="3">
        <v>3.45</v>
      </c>
      <c r="F1108" s="3">
        <v>6.27</v>
      </c>
      <c r="G1108" s="3">
        <v>55.0</v>
      </c>
    </row>
    <row r="1109">
      <c r="A1109" s="2">
        <v>44044.0</v>
      </c>
      <c r="B1109" s="3">
        <v>2020.0</v>
      </c>
      <c r="C1109" s="3">
        <v>8.0</v>
      </c>
      <c r="D1109" s="3" t="s">
        <v>12</v>
      </c>
      <c r="E1109" s="3">
        <v>1.29</v>
      </c>
      <c r="F1109" s="3">
        <v>2.35</v>
      </c>
      <c r="G1109" s="3">
        <v>55.0</v>
      </c>
    </row>
    <row r="1110">
      <c r="A1110" s="2">
        <v>44075.0</v>
      </c>
      <c r="B1110" s="3">
        <v>2020.0</v>
      </c>
      <c r="C1110" s="3">
        <v>9.0</v>
      </c>
      <c r="D1110" s="3" t="s">
        <v>12</v>
      </c>
      <c r="E1110" s="3">
        <v>1.34</v>
      </c>
      <c r="F1110" s="3">
        <v>2.44</v>
      </c>
      <c r="G1110" s="3">
        <v>55.0</v>
      </c>
    </row>
    <row r="1111">
      <c r="A1111" s="4">
        <v>44105.0</v>
      </c>
      <c r="B1111" s="3">
        <v>2020.0</v>
      </c>
      <c r="C1111" s="3">
        <v>10.0</v>
      </c>
      <c r="D1111" s="3" t="s">
        <v>12</v>
      </c>
      <c r="E1111" s="3">
        <v>1.28</v>
      </c>
      <c r="F1111" s="3">
        <v>2.33</v>
      </c>
      <c r="G1111" s="3">
        <v>55.0</v>
      </c>
    </row>
    <row r="1112">
      <c r="A1112" s="4">
        <v>44136.0</v>
      </c>
      <c r="B1112" s="3">
        <v>2020.0</v>
      </c>
      <c r="C1112" s="3">
        <v>11.0</v>
      </c>
      <c r="D1112" s="3" t="s">
        <v>12</v>
      </c>
      <c r="E1112" s="3">
        <v>1.26</v>
      </c>
      <c r="F1112" s="3">
        <v>2.3</v>
      </c>
      <c r="G1112" s="3">
        <v>55.0</v>
      </c>
    </row>
    <row r="1113">
      <c r="A1113" s="4">
        <v>44166.0</v>
      </c>
      <c r="B1113" s="3">
        <v>2020.0</v>
      </c>
      <c r="C1113" s="3">
        <v>12.0</v>
      </c>
      <c r="D1113" s="3" t="s">
        <v>12</v>
      </c>
      <c r="E1113" s="3">
        <v>1.18</v>
      </c>
      <c r="F1113" s="3">
        <v>2.15</v>
      </c>
      <c r="G1113" s="3">
        <v>55.0</v>
      </c>
    </row>
    <row r="1114">
      <c r="A1114" s="2">
        <v>44197.0</v>
      </c>
      <c r="B1114" s="3">
        <v>2021.0</v>
      </c>
      <c r="C1114" s="3">
        <v>1.0</v>
      </c>
      <c r="D1114" s="3" t="s">
        <v>12</v>
      </c>
      <c r="E1114" s="3">
        <v>3.18</v>
      </c>
      <c r="F1114" s="3">
        <v>3.81</v>
      </c>
      <c r="G1114" s="3">
        <v>83.5</v>
      </c>
    </row>
    <row r="1115">
      <c r="A1115" s="2">
        <v>44228.0</v>
      </c>
      <c r="B1115" s="3">
        <v>2021.0</v>
      </c>
      <c r="C1115" s="3">
        <v>2.0</v>
      </c>
      <c r="D1115" s="3" t="s">
        <v>12</v>
      </c>
      <c r="E1115" s="3">
        <v>1.49</v>
      </c>
      <c r="F1115" s="3">
        <v>1.8</v>
      </c>
      <c r="G1115" s="3">
        <v>82.9</v>
      </c>
    </row>
    <row r="1116">
      <c r="A1116" s="2">
        <v>44256.0</v>
      </c>
      <c r="B1116" s="3">
        <v>2021.0</v>
      </c>
      <c r="C1116" s="3">
        <v>3.0</v>
      </c>
      <c r="D1116" s="3" t="s">
        <v>12</v>
      </c>
      <c r="E1116" s="3">
        <v>1.56</v>
      </c>
      <c r="F1116" s="3">
        <v>1.9</v>
      </c>
      <c r="G1116" s="3">
        <v>82.1</v>
      </c>
    </row>
    <row r="1117">
      <c r="A1117" s="2">
        <v>44287.0</v>
      </c>
      <c r="B1117" s="3">
        <v>2021.0</v>
      </c>
      <c r="C1117" s="3">
        <v>4.0</v>
      </c>
      <c r="D1117" s="3" t="s">
        <v>12</v>
      </c>
      <c r="E1117" s="3">
        <v>1.73</v>
      </c>
      <c r="F1117" s="3">
        <v>2.06</v>
      </c>
      <c r="G1117" s="3">
        <v>83.9</v>
      </c>
    </row>
    <row r="1118">
      <c r="A1118" s="2">
        <v>44317.0</v>
      </c>
      <c r="B1118" s="3">
        <v>2021.0</v>
      </c>
      <c r="C1118" s="3">
        <v>5.0</v>
      </c>
      <c r="D1118" s="3" t="s">
        <v>12</v>
      </c>
      <c r="E1118" s="3">
        <v>1.93</v>
      </c>
      <c r="F1118" s="3">
        <v>2.36</v>
      </c>
      <c r="G1118" s="3">
        <v>81.8</v>
      </c>
    </row>
    <row r="1119">
      <c r="A1119" s="2">
        <v>44348.0</v>
      </c>
      <c r="B1119" s="3">
        <v>2021.0</v>
      </c>
      <c r="C1119" s="3">
        <v>6.0</v>
      </c>
      <c r="D1119" s="3" t="s">
        <v>12</v>
      </c>
      <c r="E1119" s="3">
        <v>2.15</v>
      </c>
      <c r="F1119" s="3">
        <v>2.61</v>
      </c>
      <c r="G1119" s="3">
        <v>82.5</v>
      </c>
    </row>
    <row r="1120">
      <c r="A1120" s="2">
        <v>44378.0</v>
      </c>
      <c r="B1120" s="3">
        <v>2021.0</v>
      </c>
      <c r="C1120" s="3">
        <v>7.0</v>
      </c>
      <c r="D1120" s="3" t="s">
        <v>12</v>
      </c>
      <c r="E1120" s="3">
        <v>5.04</v>
      </c>
      <c r="F1120" s="3">
        <v>6.1</v>
      </c>
      <c r="G1120" s="3">
        <v>82.6</v>
      </c>
    </row>
    <row r="1121">
      <c r="A1121" s="2">
        <v>44409.0</v>
      </c>
      <c r="B1121" s="3">
        <v>2021.0</v>
      </c>
      <c r="C1121" s="3">
        <v>8.0</v>
      </c>
      <c r="D1121" s="3" t="s">
        <v>12</v>
      </c>
      <c r="E1121" s="3">
        <v>3.37</v>
      </c>
      <c r="F1121" s="3">
        <v>4.19</v>
      </c>
      <c r="G1121" s="3">
        <v>80.5</v>
      </c>
    </row>
    <row r="1122">
      <c r="A1122" s="2">
        <v>44440.0</v>
      </c>
      <c r="B1122" s="3">
        <v>2021.0</v>
      </c>
      <c r="C1122" s="3">
        <v>9.0</v>
      </c>
      <c r="D1122" s="3" t="s">
        <v>12</v>
      </c>
      <c r="E1122" s="3">
        <v>3.44</v>
      </c>
      <c r="F1122" s="3">
        <v>3.92</v>
      </c>
      <c r="G1122" s="3">
        <v>87.7</v>
      </c>
    </row>
    <row r="1123">
      <c r="A1123" s="4">
        <v>44470.0</v>
      </c>
      <c r="B1123" s="3">
        <v>2021.0</v>
      </c>
      <c r="C1123" s="3">
        <v>10.0</v>
      </c>
      <c r="D1123" s="3" t="s">
        <v>12</v>
      </c>
      <c r="E1123" s="3">
        <v>3.24</v>
      </c>
      <c r="F1123" s="3">
        <v>3.94</v>
      </c>
      <c r="G1123" s="3">
        <v>82.1</v>
      </c>
    </row>
    <row r="1124">
      <c r="A1124" s="4">
        <v>44501.0</v>
      </c>
      <c r="B1124" s="3">
        <v>2021.0</v>
      </c>
      <c r="C1124" s="3">
        <v>11.0</v>
      </c>
      <c r="D1124" s="3" t="s">
        <v>12</v>
      </c>
      <c r="E1124" s="3">
        <v>3.07</v>
      </c>
      <c r="F1124" s="3">
        <v>3.79</v>
      </c>
      <c r="G1124" s="3">
        <v>81.0</v>
      </c>
    </row>
    <row r="1125">
      <c r="A1125" s="4">
        <v>44531.0</v>
      </c>
      <c r="B1125" s="3">
        <v>2021.0</v>
      </c>
      <c r="C1125" s="3">
        <v>12.0</v>
      </c>
      <c r="D1125" s="3" t="s">
        <v>12</v>
      </c>
      <c r="E1125" s="3">
        <v>3.08</v>
      </c>
      <c r="F1125" s="3">
        <v>3.82</v>
      </c>
      <c r="G1125" s="3">
        <v>80.7</v>
      </c>
    </row>
    <row r="1126">
      <c r="A1126" s="2">
        <v>44562.0</v>
      </c>
      <c r="B1126" s="3">
        <v>2022.0</v>
      </c>
      <c r="C1126" s="3">
        <v>1.0</v>
      </c>
      <c r="D1126" s="3" t="s">
        <v>12</v>
      </c>
      <c r="E1126" s="3">
        <v>4.29</v>
      </c>
      <c r="F1126" s="3">
        <v>5.44</v>
      </c>
      <c r="G1126" s="3">
        <v>78.8</v>
      </c>
    </row>
    <row r="1127">
      <c r="A1127" s="2">
        <v>44593.0</v>
      </c>
      <c r="B1127" s="3">
        <v>2022.0</v>
      </c>
      <c r="C1127" s="3">
        <v>2.0</v>
      </c>
      <c r="D1127" s="3" t="s">
        <v>12</v>
      </c>
      <c r="E1127" s="3">
        <v>4.22</v>
      </c>
      <c r="F1127" s="3">
        <v>5.37</v>
      </c>
      <c r="G1127" s="3">
        <v>78.6</v>
      </c>
    </row>
    <row r="1128">
      <c r="A1128" s="2">
        <v>44621.0</v>
      </c>
      <c r="B1128" s="3">
        <v>2022.0</v>
      </c>
      <c r="C1128" s="3">
        <v>3.0</v>
      </c>
      <c r="D1128" s="3" t="s">
        <v>12</v>
      </c>
      <c r="E1128" s="3">
        <v>4.58</v>
      </c>
      <c r="F1128" s="3">
        <v>5.23</v>
      </c>
      <c r="G1128" s="3">
        <v>87.6</v>
      </c>
    </row>
    <row r="1129">
      <c r="A1129" s="2">
        <v>44652.0</v>
      </c>
      <c r="B1129" s="3">
        <v>2022.0</v>
      </c>
      <c r="C1129" s="3">
        <v>4.0</v>
      </c>
      <c r="D1129" s="3" t="s">
        <v>12</v>
      </c>
      <c r="E1129" s="3">
        <v>4.8</v>
      </c>
      <c r="F1129" s="3">
        <v>6.11</v>
      </c>
      <c r="G1129" s="3">
        <v>78.7</v>
      </c>
    </row>
    <row r="1130">
      <c r="A1130" s="2">
        <v>44682.0</v>
      </c>
      <c r="B1130" s="3">
        <v>2022.0</v>
      </c>
      <c r="C1130" s="3">
        <v>5.0</v>
      </c>
      <c r="D1130" s="3" t="s">
        <v>12</v>
      </c>
      <c r="E1130" s="3">
        <v>5.48</v>
      </c>
      <c r="F1130" s="3">
        <v>6.8</v>
      </c>
      <c r="G1130" s="3">
        <v>80.5</v>
      </c>
    </row>
    <row r="1131">
      <c r="A1131" s="2">
        <v>44713.0</v>
      </c>
      <c r="B1131" s="3">
        <v>2022.0</v>
      </c>
      <c r="C1131" s="3">
        <v>6.0</v>
      </c>
      <c r="D1131" s="3" t="s">
        <v>12</v>
      </c>
      <c r="E1131" s="3">
        <v>6.05</v>
      </c>
      <c r="F1131" s="3">
        <v>7.43</v>
      </c>
      <c r="G1131" s="3">
        <v>81.4</v>
      </c>
    </row>
    <row r="1132">
      <c r="A1132" s="2">
        <v>44743.0</v>
      </c>
      <c r="B1132" s="3">
        <v>2022.0</v>
      </c>
      <c r="C1132" s="3">
        <v>7.0</v>
      </c>
      <c r="D1132" s="3" t="s">
        <v>12</v>
      </c>
      <c r="E1132" s="3">
        <v>6.1</v>
      </c>
      <c r="F1132" s="3">
        <v>7.47</v>
      </c>
      <c r="G1132" s="3">
        <v>81.6</v>
      </c>
    </row>
    <row r="1133">
      <c r="A1133" s="2">
        <v>44774.0</v>
      </c>
      <c r="B1133" s="3">
        <v>2022.0</v>
      </c>
      <c r="C1133" s="3">
        <v>8.0</v>
      </c>
      <c r="D1133" s="3" t="s">
        <v>12</v>
      </c>
      <c r="E1133" s="3">
        <v>6.57</v>
      </c>
      <c r="F1133" s="3">
        <v>8.06</v>
      </c>
      <c r="G1133" s="3">
        <v>81.5</v>
      </c>
    </row>
    <row r="1134">
      <c r="A1134" s="2">
        <v>44805.0</v>
      </c>
      <c r="B1134" s="3">
        <v>2022.0</v>
      </c>
      <c r="C1134" s="3">
        <v>9.0</v>
      </c>
      <c r="D1134" s="3" t="s">
        <v>12</v>
      </c>
      <c r="E1134" s="3">
        <v>6.31</v>
      </c>
      <c r="F1134" s="3">
        <v>7.73</v>
      </c>
      <c r="G1134" s="3">
        <v>81.6</v>
      </c>
    </row>
    <row r="1135">
      <c r="A1135" s="4">
        <v>44835.0</v>
      </c>
      <c r="B1135" s="3">
        <v>2022.0</v>
      </c>
      <c r="C1135" s="3">
        <v>10.0</v>
      </c>
      <c r="D1135" s="3" t="s">
        <v>12</v>
      </c>
      <c r="E1135" s="3">
        <v>5.95</v>
      </c>
      <c r="F1135" s="3">
        <v>7.19</v>
      </c>
      <c r="G1135" s="3">
        <v>82.8</v>
      </c>
    </row>
    <row r="1136">
      <c r="A1136" s="4">
        <v>44866.0</v>
      </c>
      <c r="B1136" s="3">
        <v>2022.0</v>
      </c>
      <c r="C1136" s="3">
        <v>11.0</v>
      </c>
      <c r="D1136" s="3" t="s">
        <v>12</v>
      </c>
      <c r="E1136" s="3">
        <v>5.53</v>
      </c>
      <c r="F1136" s="3">
        <v>6.82</v>
      </c>
      <c r="G1136" s="3">
        <v>81.1</v>
      </c>
    </row>
    <row r="1137">
      <c r="A1137" s="4">
        <v>44896.0</v>
      </c>
      <c r="B1137" s="3">
        <v>2022.0</v>
      </c>
      <c r="C1137" s="3">
        <v>12.0</v>
      </c>
      <c r="D1137" s="3" t="s">
        <v>12</v>
      </c>
      <c r="E1137" s="3">
        <v>5.6</v>
      </c>
      <c r="F1137" s="3">
        <v>6.78</v>
      </c>
      <c r="G1137" s="3">
        <v>82.6</v>
      </c>
    </row>
    <row r="1138">
      <c r="A1138" s="2">
        <v>44927.0</v>
      </c>
      <c r="B1138" s="3">
        <v>2023.0</v>
      </c>
      <c r="C1138" s="3">
        <v>1.0</v>
      </c>
      <c r="D1138" s="3" t="s">
        <v>12</v>
      </c>
      <c r="E1138" s="3">
        <v>5.31</v>
      </c>
      <c r="F1138" s="3">
        <v>6.49</v>
      </c>
      <c r="G1138" s="3">
        <v>81.9</v>
      </c>
    </row>
    <row r="1139">
      <c r="A1139" s="2">
        <v>44958.0</v>
      </c>
      <c r="B1139" s="3">
        <v>2023.0</v>
      </c>
      <c r="C1139" s="3">
        <v>2.0</v>
      </c>
      <c r="D1139" s="3" t="s">
        <v>12</v>
      </c>
      <c r="E1139" s="3">
        <v>5.36</v>
      </c>
      <c r="F1139" s="3">
        <v>6.39</v>
      </c>
      <c r="G1139" s="3">
        <v>83.8</v>
      </c>
    </row>
    <row r="1140">
      <c r="A1140" s="2">
        <v>44986.0</v>
      </c>
      <c r="B1140" s="3">
        <v>2023.0</v>
      </c>
      <c r="C1140" s="3">
        <v>3.0</v>
      </c>
      <c r="D1140" s="3" t="s">
        <v>12</v>
      </c>
      <c r="E1140" s="3">
        <v>5.44</v>
      </c>
      <c r="F1140" s="3">
        <v>6.48</v>
      </c>
      <c r="G1140" s="3">
        <v>83.9</v>
      </c>
    </row>
    <row r="1141">
      <c r="A1141" s="2">
        <v>45017.0</v>
      </c>
      <c r="B1141" s="3">
        <v>2023.0</v>
      </c>
      <c r="C1141" s="3">
        <v>4.0</v>
      </c>
      <c r="D1141" s="3" t="s">
        <v>12</v>
      </c>
      <c r="E1141" s="3">
        <v>5.91</v>
      </c>
      <c r="F1141" s="3">
        <v>7.29</v>
      </c>
      <c r="G1141" s="3">
        <v>81.1</v>
      </c>
    </row>
    <row r="1142">
      <c r="A1142" s="2">
        <v>45047.0</v>
      </c>
      <c r="B1142" s="3">
        <v>2023.0</v>
      </c>
      <c r="C1142" s="3">
        <v>5.0</v>
      </c>
      <c r="D1142" s="3" t="s">
        <v>12</v>
      </c>
      <c r="E1142" s="3">
        <v>6.08</v>
      </c>
      <c r="F1142" s="3">
        <v>7.34</v>
      </c>
      <c r="G1142" s="3">
        <v>82.8</v>
      </c>
    </row>
    <row r="1143">
      <c r="A1143" s="2">
        <v>45078.0</v>
      </c>
      <c r="B1143" s="3">
        <v>2023.0</v>
      </c>
      <c r="C1143" s="3">
        <v>6.0</v>
      </c>
      <c r="D1143" s="3" t="s">
        <v>12</v>
      </c>
      <c r="E1143" s="3">
        <v>7.01</v>
      </c>
      <c r="F1143" s="3">
        <v>8.33</v>
      </c>
      <c r="G1143" s="3">
        <v>84.2</v>
      </c>
    </row>
    <row r="1144">
      <c r="A1144" s="2">
        <v>45108.0</v>
      </c>
      <c r="B1144" s="3">
        <v>2023.0</v>
      </c>
      <c r="C1144" s="3">
        <v>7.0</v>
      </c>
      <c r="D1144" s="3" t="s">
        <v>12</v>
      </c>
      <c r="E1144" s="3">
        <v>7.14</v>
      </c>
      <c r="F1144" s="3">
        <v>8.91</v>
      </c>
      <c r="G1144" s="3">
        <v>80.2</v>
      </c>
    </row>
    <row r="1145">
      <c r="A1145" s="2">
        <v>45139.0</v>
      </c>
      <c r="B1145" s="3">
        <v>2023.0</v>
      </c>
      <c r="C1145" s="3">
        <v>8.0</v>
      </c>
      <c r="D1145" s="3" t="s">
        <v>12</v>
      </c>
      <c r="E1145" s="3">
        <v>7.68</v>
      </c>
      <c r="F1145" s="3">
        <v>9.38</v>
      </c>
      <c r="G1145" s="3">
        <v>81.9</v>
      </c>
    </row>
    <row r="1146">
      <c r="A1146" s="2">
        <v>45170.0</v>
      </c>
      <c r="B1146" s="3">
        <v>2023.0</v>
      </c>
      <c r="C1146" s="3">
        <v>9.0</v>
      </c>
      <c r="D1146" s="3" t="s">
        <v>12</v>
      </c>
      <c r="E1146" s="3">
        <v>7.12</v>
      </c>
      <c r="F1146" s="3">
        <v>8.6</v>
      </c>
      <c r="G1146" s="3">
        <v>82.8</v>
      </c>
    </row>
    <row r="1147">
      <c r="A1147" s="4">
        <v>45200.0</v>
      </c>
      <c r="B1147" s="3">
        <v>2023.0</v>
      </c>
      <c r="C1147" s="3">
        <v>10.0</v>
      </c>
      <c r="D1147" s="3" t="s">
        <v>12</v>
      </c>
      <c r="E1147" s="3">
        <v>6.86</v>
      </c>
      <c r="F1147" s="3">
        <v>8.57</v>
      </c>
      <c r="G1147" s="3">
        <v>80.1</v>
      </c>
    </row>
    <row r="1148">
      <c r="A1148" s="4">
        <v>45231.0</v>
      </c>
      <c r="B1148" s="3">
        <v>2023.0</v>
      </c>
      <c r="C1148" s="3">
        <v>11.0</v>
      </c>
      <c r="D1148" s="3" t="s">
        <v>12</v>
      </c>
      <c r="E1148" s="3">
        <v>7.12</v>
      </c>
      <c r="F1148" s="3">
        <v>8.31</v>
      </c>
      <c r="G1148" s="3">
        <v>85.6</v>
      </c>
    </row>
    <row r="1149">
      <c r="A1149" s="4">
        <v>45261.0</v>
      </c>
      <c r="B1149" s="3">
        <v>2023.0</v>
      </c>
      <c r="C1149" s="3">
        <v>12.0</v>
      </c>
      <c r="D1149" s="3" t="s">
        <v>12</v>
      </c>
      <c r="E1149" s="3">
        <v>6.17</v>
      </c>
      <c r="F1149" s="3">
        <v>7.58</v>
      </c>
      <c r="G1149" s="3">
        <v>81.3</v>
      </c>
    </row>
    <row r="1150">
      <c r="A1150" s="2">
        <v>45292.0</v>
      </c>
      <c r="B1150" s="3">
        <v>2024.0</v>
      </c>
      <c r="C1150" s="3">
        <v>1.0</v>
      </c>
      <c r="D1150" s="3" t="s">
        <v>12</v>
      </c>
      <c r="E1150" s="3">
        <v>6.1</v>
      </c>
      <c r="F1150" s="3">
        <v>7.13</v>
      </c>
      <c r="G1150" s="3">
        <v>85.6</v>
      </c>
    </row>
    <row r="1151">
      <c r="A1151" s="2">
        <v>45323.0</v>
      </c>
      <c r="B1151" s="3">
        <v>2024.0</v>
      </c>
      <c r="C1151" s="3">
        <v>2.0</v>
      </c>
      <c r="D1151" s="3" t="s">
        <v>12</v>
      </c>
      <c r="E1151" s="3">
        <v>5.9</v>
      </c>
      <c r="F1151" s="3">
        <v>7.28</v>
      </c>
      <c r="G1151" s="3">
        <v>81.0</v>
      </c>
    </row>
    <row r="1152">
      <c r="A1152" s="2">
        <v>45352.0</v>
      </c>
      <c r="B1152" s="3">
        <v>2024.0</v>
      </c>
      <c r="C1152" s="3">
        <v>3.0</v>
      </c>
      <c r="D1152" s="3" t="s">
        <v>12</v>
      </c>
      <c r="E1152" s="3">
        <v>6.46</v>
      </c>
      <c r="F1152" s="3">
        <v>7.95</v>
      </c>
      <c r="G1152" s="3">
        <v>81.3</v>
      </c>
    </row>
    <row r="1153">
      <c r="A1153" s="2">
        <v>45383.0</v>
      </c>
      <c r="B1153" s="3">
        <v>2024.0</v>
      </c>
      <c r="C1153" s="3">
        <v>4.0</v>
      </c>
      <c r="D1153" s="3" t="s">
        <v>12</v>
      </c>
      <c r="E1153" s="3">
        <v>6.73</v>
      </c>
      <c r="F1153" s="3">
        <v>8.52</v>
      </c>
      <c r="G1153" s="3">
        <v>79.0</v>
      </c>
    </row>
    <row r="1154">
      <c r="A1154" s="2">
        <v>45413.0</v>
      </c>
      <c r="B1154" s="3">
        <v>2024.0</v>
      </c>
      <c r="C1154" s="3">
        <v>5.0</v>
      </c>
      <c r="D1154" s="3" t="s">
        <v>12</v>
      </c>
      <c r="E1154" s="3">
        <v>7.13</v>
      </c>
      <c r="F1154" s="3">
        <v>9.06</v>
      </c>
      <c r="G1154" s="3">
        <v>78.7</v>
      </c>
    </row>
    <row r="1155">
      <c r="A1155" s="2">
        <v>45444.0</v>
      </c>
      <c r="B1155" s="3">
        <v>2024.0</v>
      </c>
      <c r="C1155" s="3">
        <v>6.0</v>
      </c>
      <c r="D1155" s="3" t="s">
        <v>12</v>
      </c>
      <c r="E1155" s="3">
        <v>7.51</v>
      </c>
      <c r="F1155" s="3">
        <v>8.97</v>
      </c>
      <c r="G1155" s="3">
        <v>83.7</v>
      </c>
    </row>
    <row r="1156">
      <c r="A1156" s="2">
        <v>45474.0</v>
      </c>
      <c r="B1156" s="3">
        <v>2024.0</v>
      </c>
      <c r="C1156" s="3">
        <v>7.0</v>
      </c>
      <c r="D1156" s="3" t="s">
        <v>12</v>
      </c>
      <c r="E1156" s="3">
        <v>8.18</v>
      </c>
      <c r="F1156" s="3">
        <v>10.05</v>
      </c>
      <c r="G1156" s="3">
        <v>81.4</v>
      </c>
    </row>
    <row r="1157">
      <c r="A1157" s="2">
        <v>45505.0</v>
      </c>
      <c r="B1157" s="3">
        <v>2024.0</v>
      </c>
      <c r="C1157" s="3">
        <v>8.0</v>
      </c>
      <c r="D1157" s="3" t="s">
        <v>12</v>
      </c>
      <c r="E1157" s="3">
        <v>8.2</v>
      </c>
      <c r="F1157" s="3">
        <v>10.05</v>
      </c>
      <c r="G1157" s="3">
        <v>81.6</v>
      </c>
    </row>
    <row r="1158">
      <c r="A1158" s="2">
        <v>45536.0</v>
      </c>
      <c r="B1158" s="3">
        <v>2024.0</v>
      </c>
      <c r="C1158" s="3">
        <v>9.0</v>
      </c>
      <c r="D1158" s="3" t="s">
        <v>12</v>
      </c>
      <c r="E1158" s="3">
        <v>8.36</v>
      </c>
      <c r="F1158" s="3">
        <v>9.96</v>
      </c>
      <c r="G1158" s="3">
        <v>84.0</v>
      </c>
    </row>
    <row r="1159">
      <c r="A1159" s="4">
        <v>45566.0</v>
      </c>
      <c r="B1159" s="3">
        <v>2024.0</v>
      </c>
      <c r="C1159" s="3">
        <v>10.0</v>
      </c>
      <c r="D1159" s="3" t="s">
        <v>12</v>
      </c>
      <c r="E1159" s="3">
        <v>7.33</v>
      </c>
      <c r="F1159" s="3">
        <v>9.12</v>
      </c>
      <c r="G1159" s="3">
        <v>80.3</v>
      </c>
    </row>
    <row r="1160">
      <c r="A1160" s="4">
        <v>45597.0</v>
      </c>
      <c r="B1160" s="3">
        <v>2024.0</v>
      </c>
      <c r="C1160" s="3">
        <v>11.0</v>
      </c>
      <c r="D1160" s="3" t="s">
        <v>12</v>
      </c>
      <c r="E1160" s="3">
        <v>7.45</v>
      </c>
      <c r="F1160" s="3">
        <v>9.11</v>
      </c>
      <c r="G1160" s="3">
        <v>81.8</v>
      </c>
    </row>
    <row r="1161">
      <c r="A1161" s="4">
        <v>45627.0</v>
      </c>
      <c r="B1161" s="3">
        <v>2024.0</v>
      </c>
      <c r="C1161" s="3">
        <v>12.0</v>
      </c>
      <c r="D1161" s="3" t="s">
        <v>12</v>
      </c>
      <c r="E1161" s="3">
        <v>6.98</v>
      </c>
      <c r="F1161" s="3">
        <v>8.46</v>
      </c>
      <c r="G1161" s="3">
        <v>82.5</v>
      </c>
    </row>
    <row r="1162">
      <c r="A1162" s="2">
        <v>45658.0</v>
      </c>
      <c r="B1162" s="3">
        <v>2025.0</v>
      </c>
      <c r="C1162" s="3">
        <v>1.0</v>
      </c>
      <c r="D1162" s="3" t="s">
        <v>12</v>
      </c>
      <c r="E1162" s="3">
        <v>6.47</v>
      </c>
      <c r="F1162" s="3">
        <v>7.99</v>
      </c>
      <c r="G1162" s="3">
        <v>80.9</v>
      </c>
    </row>
    <row r="1163">
      <c r="A1163" s="2">
        <v>45689.0</v>
      </c>
      <c r="B1163" s="3">
        <v>2025.0</v>
      </c>
      <c r="C1163" s="3">
        <v>2.0</v>
      </c>
      <c r="D1163" s="3" t="s">
        <v>12</v>
      </c>
      <c r="E1163" s="3">
        <v>6.36</v>
      </c>
      <c r="F1163" s="3">
        <v>7.55</v>
      </c>
      <c r="G1163" s="3">
        <v>84.3</v>
      </c>
    </row>
    <row r="1164">
      <c r="A1164" s="2">
        <v>45717.0</v>
      </c>
      <c r="B1164" s="3">
        <v>2025.0</v>
      </c>
      <c r="C1164" s="3">
        <v>3.0</v>
      </c>
      <c r="D1164" s="3" t="s">
        <v>12</v>
      </c>
      <c r="E1164" s="3">
        <v>6.45</v>
      </c>
      <c r="F1164" s="3">
        <v>7.88</v>
      </c>
      <c r="G1164" s="3">
        <v>81.9</v>
      </c>
    </row>
    <row r="1165">
      <c r="A1165" s="2">
        <v>45748.0</v>
      </c>
      <c r="B1165" s="3">
        <v>2025.0</v>
      </c>
      <c r="C1165" s="3">
        <v>4.0</v>
      </c>
      <c r="D1165" s="3" t="s">
        <v>12</v>
      </c>
      <c r="E1165" s="3">
        <v>7.09</v>
      </c>
      <c r="F1165" s="3">
        <v>8.33</v>
      </c>
      <c r="G1165" s="3">
        <v>85.1</v>
      </c>
    </row>
    <row r="1166">
      <c r="A1166" s="2">
        <v>45778.0</v>
      </c>
      <c r="B1166" s="3">
        <v>2025.0</v>
      </c>
      <c r="C1166" s="3">
        <v>5.0</v>
      </c>
      <c r="D1166" s="3" t="s">
        <v>12</v>
      </c>
      <c r="E1166" s="3">
        <v>7.6</v>
      </c>
      <c r="F1166" s="3">
        <v>9.05</v>
      </c>
      <c r="G1166" s="3">
        <v>83.9</v>
      </c>
    </row>
    <row r="1167">
      <c r="A1167" s="2">
        <v>45809.0</v>
      </c>
      <c r="B1167" s="3">
        <v>2025.0</v>
      </c>
      <c r="C1167" s="3">
        <v>6.0</v>
      </c>
      <c r="D1167" s="3" t="s">
        <v>12</v>
      </c>
      <c r="E1167" s="3">
        <v>8.6</v>
      </c>
      <c r="F1167" s="3">
        <v>10.5</v>
      </c>
      <c r="G1167" s="3">
        <v>81.9</v>
      </c>
    </row>
    <row r="1168">
      <c r="A1168" s="2">
        <v>45839.0</v>
      </c>
      <c r="B1168" s="3">
        <v>2025.0</v>
      </c>
      <c r="C1168" s="3">
        <v>7.0</v>
      </c>
      <c r="D1168" s="3" t="s">
        <v>12</v>
      </c>
      <c r="E1168" s="3">
        <v>8.7</v>
      </c>
      <c r="F1168" s="3">
        <v>10.7</v>
      </c>
      <c r="G1168" s="3">
        <v>81.3</v>
      </c>
    </row>
    <row r="1169">
      <c r="A1169" s="2">
        <v>45870.0</v>
      </c>
      <c r="B1169" s="3">
        <v>2025.0</v>
      </c>
      <c r="C1169" s="3">
        <v>8.0</v>
      </c>
      <c r="D1169" s="3" t="s">
        <v>12</v>
      </c>
      <c r="E1169" s="3">
        <v>8.89</v>
      </c>
      <c r="F1169" s="3">
        <v>10.62</v>
      </c>
      <c r="G1169" s="3">
        <v>83.7</v>
      </c>
    </row>
    <row r="1170">
      <c r="A1170" s="2">
        <v>45901.0</v>
      </c>
      <c r="B1170" s="3">
        <v>2025.0</v>
      </c>
      <c r="C1170" s="3">
        <v>9.0</v>
      </c>
      <c r="D1170" s="3" t="s">
        <v>12</v>
      </c>
      <c r="E1170" s="3">
        <v>8.91</v>
      </c>
      <c r="F1170" s="3">
        <v>10.81</v>
      </c>
      <c r="G1170" s="3">
        <v>82.5</v>
      </c>
    </row>
    <row r="1171">
      <c r="A1171" s="4">
        <v>45931.0</v>
      </c>
      <c r="B1171" s="3">
        <v>2025.0</v>
      </c>
      <c r="C1171" s="3">
        <v>10.0</v>
      </c>
      <c r="D1171" s="3" t="s">
        <v>12</v>
      </c>
      <c r="E1171" s="3">
        <v>8.18</v>
      </c>
      <c r="F1171" s="3">
        <v>10.22</v>
      </c>
      <c r="G1171" s="3">
        <v>80.1</v>
      </c>
    </row>
    <row r="1172">
      <c r="A1172" s="4">
        <v>45962.0</v>
      </c>
      <c r="B1172" s="3">
        <v>2025.0</v>
      </c>
      <c r="C1172" s="3">
        <v>11.0</v>
      </c>
      <c r="D1172" s="3" t="s">
        <v>12</v>
      </c>
      <c r="E1172" s="3">
        <v>8.44</v>
      </c>
      <c r="F1172" s="3">
        <v>10.34</v>
      </c>
      <c r="G1172" s="3">
        <v>81.6</v>
      </c>
    </row>
    <row r="1173">
      <c r="A1173" s="4">
        <v>45992.0</v>
      </c>
      <c r="B1173" s="3">
        <v>2025.0</v>
      </c>
      <c r="C1173" s="3">
        <v>12.0</v>
      </c>
      <c r="D1173" s="3" t="s">
        <v>12</v>
      </c>
      <c r="E1173" s="3">
        <v>7.19</v>
      </c>
      <c r="F1173" s="3">
        <v>8.48</v>
      </c>
      <c r="G1173" s="3">
        <v>84.9</v>
      </c>
    </row>
    <row r="1174">
      <c r="A1174" s="2">
        <v>46023.0</v>
      </c>
      <c r="B1174" s="3">
        <v>2026.0</v>
      </c>
      <c r="C1174" s="3">
        <v>1.0</v>
      </c>
      <c r="D1174" s="3" t="s">
        <v>12</v>
      </c>
      <c r="E1174" s="3">
        <v>7.02</v>
      </c>
      <c r="F1174" s="3">
        <v>8.44</v>
      </c>
      <c r="G1174" s="3">
        <v>83.2</v>
      </c>
    </row>
    <row r="1175">
      <c r="A1175" s="2">
        <v>46054.0</v>
      </c>
      <c r="B1175" s="3">
        <v>2026.0</v>
      </c>
      <c r="C1175" s="3">
        <v>2.0</v>
      </c>
      <c r="D1175" s="3" t="s">
        <v>12</v>
      </c>
      <c r="E1175" s="3">
        <v>6.77</v>
      </c>
      <c r="F1175" s="3">
        <v>8.32</v>
      </c>
      <c r="G1175" s="3">
        <v>81.4</v>
      </c>
    </row>
    <row r="1176">
      <c r="A1176" s="2">
        <v>46082.0</v>
      </c>
      <c r="B1176" s="3">
        <v>2026.0</v>
      </c>
      <c r="C1176" s="3">
        <v>3.0</v>
      </c>
      <c r="D1176" s="3" t="s">
        <v>12</v>
      </c>
      <c r="E1176" s="3">
        <v>6.93</v>
      </c>
      <c r="F1176" s="3">
        <v>8.74</v>
      </c>
      <c r="G1176" s="3">
        <v>79.2</v>
      </c>
    </row>
    <row r="1177">
      <c r="A1177" s="2">
        <v>46113.0</v>
      </c>
      <c r="B1177" s="3">
        <v>2026.0</v>
      </c>
      <c r="C1177" s="3">
        <v>4.0</v>
      </c>
      <c r="D1177" s="3" t="s">
        <v>12</v>
      </c>
      <c r="E1177" s="3">
        <v>7.38</v>
      </c>
      <c r="F1177" s="3">
        <v>8.94</v>
      </c>
      <c r="G1177" s="3">
        <v>82.6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4.75"/>
    <col customWidth="1" min="3" max="3" width="6.13"/>
    <col customWidth="1" min="4" max="4" width="11.63"/>
    <col customWidth="1" min="5" max="5" width="12.13"/>
    <col customWidth="1" min="6" max="6" width="10.5"/>
    <col customWidth="1" min="7" max="7" width="20.63"/>
    <col customWidth="1" min="8" max="8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3" t="s">
        <v>16</v>
      </c>
      <c r="I1" s="1" t="s">
        <v>17</v>
      </c>
    </row>
    <row r="2">
      <c r="A2" s="2">
        <v>40179.0</v>
      </c>
      <c r="B2" s="3">
        <v>2010.0</v>
      </c>
      <c r="C2" s="3">
        <v>1.0</v>
      </c>
      <c r="D2" s="3" t="s">
        <v>7</v>
      </c>
      <c r="E2" s="3">
        <v>61.73</v>
      </c>
      <c r="F2" s="3">
        <v>76.45</v>
      </c>
      <c r="G2" s="3">
        <v>80.8</v>
      </c>
      <c r="H2" s="5" t="str">
        <f t="shared" ref="H2:H1177" si="1">TEXT(DATE(B2,C2,1),"mmmm yyyy")</f>
        <v>January 2010</v>
      </c>
      <c r="I2" s="6">
        <f t="shared" ref="I2:I1177" si="2">DATE(B2,C2,1)</f>
        <v>40179</v>
      </c>
    </row>
    <row r="3">
      <c r="A3" s="2">
        <v>40210.0</v>
      </c>
      <c r="B3" s="3">
        <v>2010.0</v>
      </c>
      <c r="C3" s="3">
        <v>2.0</v>
      </c>
      <c r="D3" s="3" t="s">
        <v>7</v>
      </c>
      <c r="E3" s="3">
        <v>58.63</v>
      </c>
      <c r="F3" s="3">
        <v>72.13</v>
      </c>
      <c r="G3" s="3">
        <v>81.3</v>
      </c>
      <c r="H3" s="5" t="str">
        <f t="shared" si="1"/>
        <v>February 2010</v>
      </c>
      <c r="I3" s="6">
        <f t="shared" si="2"/>
        <v>40210</v>
      </c>
    </row>
    <row r="4">
      <c r="A4" s="2">
        <v>40238.0</v>
      </c>
      <c r="B4" s="3">
        <v>2010.0</v>
      </c>
      <c r="C4" s="3">
        <v>3.0</v>
      </c>
      <c r="D4" s="3" t="s">
        <v>7</v>
      </c>
      <c r="E4" s="3">
        <v>60.16</v>
      </c>
      <c r="F4" s="3">
        <v>72.79</v>
      </c>
      <c r="G4" s="3">
        <v>82.6</v>
      </c>
      <c r="H4" s="5" t="str">
        <f t="shared" si="1"/>
        <v>March 2010</v>
      </c>
      <c r="I4" s="6">
        <f t="shared" si="2"/>
        <v>40238</v>
      </c>
    </row>
    <row r="5">
      <c r="A5" s="2">
        <v>40269.0</v>
      </c>
      <c r="B5" s="3">
        <v>2010.0</v>
      </c>
      <c r="C5" s="3">
        <v>4.0</v>
      </c>
      <c r="D5" s="3" t="s">
        <v>7</v>
      </c>
      <c r="E5" s="3">
        <v>64.07</v>
      </c>
      <c r="F5" s="3">
        <v>76.8</v>
      </c>
      <c r="G5" s="3">
        <v>83.4</v>
      </c>
      <c r="H5" s="5" t="str">
        <f t="shared" si="1"/>
        <v>April 2010</v>
      </c>
      <c r="I5" s="6">
        <f t="shared" si="2"/>
        <v>40269</v>
      </c>
    </row>
    <row r="6">
      <c r="A6" s="2">
        <v>40299.0</v>
      </c>
      <c r="B6" s="3">
        <v>2010.0</v>
      </c>
      <c r="C6" s="3">
        <v>5.0</v>
      </c>
      <c r="D6" s="3" t="s">
        <v>7</v>
      </c>
      <c r="E6" s="3">
        <v>69.43</v>
      </c>
      <c r="F6" s="3">
        <v>85.85</v>
      </c>
      <c r="G6" s="3">
        <v>80.9</v>
      </c>
      <c r="H6" s="5" t="str">
        <f t="shared" si="1"/>
        <v>May 2010</v>
      </c>
      <c r="I6" s="6">
        <f t="shared" si="2"/>
        <v>40299</v>
      </c>
    </row>
    <row r="7">
      <c r="A7" s="2">
        <v>40330.0</v>
      </c>
      <c r="B7" s="3">
        <v>2010.0</v>
      </c>
      <c r="C7" s="3">
        <v>6.0</v>
      </c>
      <c r="D7" s="3" t="s">
        <v>7</v>
      </c>
      <c r="E7" s="3">
        <v>76.14</v>
      </c>
      <c r="F7" s="3">
        <v>89.95</v>
      </c>
      <c r="G7" s="3">
        <v>84.7</v>
      </c>
      <c r="H7" s="5" t="str">
        <f t="shared" si="1"/>
        <v>June 2010</v>
      </c>
      <c r="I7" s="6">
        <f t="shared" si="2"/>
        <v>40330</v>
      </c>
    </row>
    <row r="8">
      <c r="A8" s="2">
        <v>40360.0</v>
      </c>
      <c r="B8" s="3">
        <v>2010.0</v>
      </c>
      <c r="C8" s="3">
        <v>7.0</v>
      </c>
      <c r="D8" s="3" t="s">
        <v>7</v>
      </c>
      <c r="E8" s="3">
        <v>82.62</v>
      </c>
      <c r="F8" s="3">
        <v>101.28</v>
      </c>
      <c r="G8" s="3">
        <v>81.6</v>
      </c>
      <c r="H8" s="5" t="str">
        <f t="shared" si="1"/>
        <v>July 2010</v>
      </c>
      <c r="I8" s="6">
        <f t="shared" si="2"/>
        <v>40360</v>
      </c>
    </row>
    <row r="9">
      <c r="A9" s="2">
        <v>40391.0</v>
      </c>
      <c r="B9" s="3">
        <v>2010.0</v>
      </c>
      <c r="C9" s="3">
        <v>8.0</v>
      </c>
      <c r="D9" s="3" t="s">
        <v>7</v>
      </c>
      <c r="E9" s="3">
        <v>84.79</v>
      </c>
      <c r="F9" s="3">
        <v>109.0</v>
      </c>
      <c r="G9" s="3">
        <v>77.8</v>
      </c>
      <c r="H9" s="5" t="str">
        <f t="shared" si="1"/>
        <v>August 2010</v>
      </c>
      <c r="I9" s="6">
        <f t="shared" si="2"/>
        <v>40391</v>
      </c>
    </row>
    <row r="10">
      <c r="A10" s="2">
        <v>40422.0</v>
      </c>
      <c r="B10" s="3">
        <v>2010.0</v>
      </c>
      <c r="C10" s="3">
        <v>9.0</v>
      </c>
      <c r="D10" s="3" t="s">
        <v>7</v>
      </c>
      <c r="E10" s="3">
        <v>82.23</v>
      </c>
      <c r="F10" s="3">
        <v>95.62</v>
      </c>
      <c r="G10" s="3">
        <v>86.0</v>
      </c>
      <c r="H10" s="5" t="str">
        <f t="shared" si="1"/>
        <v>September 2010</v>
      </c>
      <c r="I10" s="6">
        <f t="shared" si="2"/>
        <v>40422</v>
      </c>
    </row>
    <row r="11">
      <c r="A11" s="4">
        <v>40452.0</v>
      </c>
      <c r="B11" s="3">
        <v>2010.0</v>
      </c>
      <c r="C11" s="3">
        <v>10.0</v>
      </c>
      <c r="D11" s="3" t="s">
        <v>7</v>
      </c>
      <c r="E11" s="3">
        <v>78.9</v>
      </c>
      <c r="F11" s="3">
        <v>96.05</v>
      </c>
      <c r="G11" s="3">
        <v>82.1</v>
      </c>
      <c r="H11" s="5" t="str">
        <f t="shared" si="1"/>
        <v>October 2010</v>
      </c>
      <c r="I11" s="6">
        <f t="shared" si="2"/>
        <v>40452</v>
      </c>
    </row>
    <row r="12">
      <c r="A12" s="4">
        <v>40483.0</v>
      </c>
      <c r="B12" s="3">
        <v>2010.0</v>
      </c>
      <c r="C12" s="3">
        <v>11.0</v>
      </c>
      <c r="D12" s="3" t="s">
        <v>7</v>
      </c>
      <c r="E12" s="3">
        <v>74.55</v>
      </c>
      <c r="F12" s="3">
        <v>88.97</v>
      </c>
      <c r="G12" s="3">
        <v>83.8</v>
      </c>
      <c r="H12" s="5" t="str">
        <f t="shared" si="1"/>
        <v>November 2010</v>
      </c>
      <c r="I12" s="6">
        <f t="shared" si="2"/>
        <v>40483</v>
      </c>
    </row>
    <row r="13">
      <c r="A13" s="4">
        <v>40513.0</v>
      </c>
      <c r="B13" s="3">
        <v>2010.0</v>
      </c>
      <c r="C13" s="3">
        <v>12.0</v>
      </c>
      <c r="D13" s="3" t="s">
        <v>7</v>
      </c>
      <c r="E13" s="3">
        <v>64.09</v>
      </c>
      <c r="F13" s="3">
        <v>81.5</v>
      </c>
      <c r="G13" s="3">
        <v>78.6</v>
      </c>
      <c r="H13" s="5" t="str">
        <f t="shared" si="1"/>
        <v>December 2010</v>
      </c>
      <c r="I13" s="6">
        <f t="shared" si="2"/>
        <v>40513</v>
      </c>
    </row>
    <row r="14">
      <c r="A14" s="2">
        <v>40544.0</v>
      </c>
      <c r="B14" s="3">
        <v>2011.0</v>
      </c>
      <c r="C14" s="3">
        <v>1.0</v>
      </c>
      <c r="D14" s="3" t="s">
        <v>7</v>
      </c>
      <c r="E14" s="3">
        <v>64.62</v>
      </c>
      <c r="F14" s="3">
        <v>80.2</v>
      </c>
      <c r="G14" s="3">
        <v>80.6</v>
      </c>
      <c r="H14" s="5" t="str">
        <f t="shared" si="1"/>
        <v>January 2011</v>
      </c>
      <c r="I14" s="6">
        <f t="shared" si="2"/>
        <v>40544</v>
      </c>
    </row>
    <row r="15">
      <c r="A15" s="2">
        <v>40575.0</v>
      </c>
      <c r="B15" s="3">
        <v>2011.0</v>
      </c>
      <c r="C15" s="3">
        <v>2.0</v>
      </c>
      <c r="D15" s="3" t="s">
        <v>7</v>
      </c>
      <c r="E15" s="3">
        <v>65.45</v>
      </c>
      <c r="F15" s="3">
        <v>80.44</v>
      </c>
      <c r="G15" s="3">
        <v>81.4</v>
      </c>
      <c r="H15" s="5" t="str">
        <f t="shared" si="1"/>
        <v>February 2011</v>
      </c>
      <c r="I15" s="6">
        <f t="shared" si="2"/>
        <v>40575</v>
      </c>
    </row>
    <row r="16">
      <c r="A16" s="2">
        <v>40603.0</v>
      </c>
      <c r="B16" s="3">
        <v>2011.0</v>
      </c>
      <c r="C16" s="3">
        <v>3.0</v>
      </c>
      <c r="D16" s="3" t="s">
        <v>7</v>
      </c>
      <c r="E16" s="3">
        <v>60.98</v>
      </c>
      <c r="F16" s="3">
        <v>76.73</v>
      </c>
      <c r="G16" s="3">
        <v>79.5</v>
      </c>
      <c r="H16" s="5" t="str">
        <f t="shared" si="1"/>
        <v>March 2011</v>
      </c>
      <c r="I16" s="6">
        <f t="shared" si="2"/>
        <v>40603</v>
      </c>
    </row>
    <row r="17">
      <c r="A17" s="2">
        <v>40634.0</v>
      </c>
      <c r="B17" s="3">
        <v>2011.0</v>
      </c>
      <c r="C17" s="3">
        <v>4.0</v>
      </c>
      <c r="D17" s="3" t="s">
        <v>7</v>
      </c>
      <c r="E17" s="3">
        <v>63.46</v>
      </c>
      <c r="F17" s="3">
        <v>77.83</v>
      </c>
      <c r="G17" s="3">
        <v>81.5</v>
      </c>
      <c r="H17" s="5" t="str">
        <f t="shared" si="1"/>
        <v>April 2011</v>
      </c>
      <c r="I17" s="6">
        <f t="shared" si="2"/>
        <v>40634</v>
      </c>
    </row>
    <row r="18">
      <c r="A18" s="2">
        <v>40664.0</v>
      </c>
      <c r="B18" s="3">
        <v>2011.0</v>
      </c>
      <c r="C18" s="3">
        <v>5.0</v>
      </c>
      <c r="D18" s="3" t="s">
        <v>7</v>
      </c>
      <c r="E18" s="3">
        <v>74.31</v>
      </c>
      <c r="F18" s="3">
        <v>91.57</v>
      </c>
      <c r="G18" s="3">
        <v>81.2</v>
      </c>
      <c r="H18" s="5" t="str">
        <f t="shared" si="1"/>
        <v>May 2011</v>
      </c>
      <c r="I18" s="6">
        <f t="shared" si="2"/>
        <v>40664</v>
      </c>
    </row>
    <row r="19">
      <c r="A19" s="2">
        <v>40695.0</v>
      </c>
      <c r="B19" s="3">
        <v>2011.0</v>
      </c>
      <c r="C19" s="3">
        <v>6.0</v>
      </c>
      <c r="D19" s="3" t="s">
        <v>7</v>
      </c>
      <c r="E19" s="3">
        <v>83.24</v>
      </c>
      <c r="F19" s="3">
        <v>98.63</v>
      </c>
      <c r="G19" s="3">
        <v>84.4</v>
      </c>
      <c r="H19" s="5" t="str">
        <f t="shared" si="1"/>
        <v>June 2011</v>
      </c>
      <c r="I19" s="6">
        <f t="shared" si="2"/>
        <v>40695</v>
      </c>
    </row>
    <row r="20">
      <c r="A20" s="2">
        <v>40725.0</v>
      </c>
      <c r="B20" s="3">
        <v>2011.0</v>
      </c>
      <c r="C20" s="3">
        <v>7.0</v>
      </c>
      <c r="D20" s="3" t="s">
        <v>7</v>
      </c>
      <c r="E20" s="3">
        <v>84.54</v>
      </c>
      <c r="F20" s="3">
        <v>108.75</v>
      </c>
      <c r="G20" s="3">
        <v>77.7</v>
      </c>
      <c r="H20" s="5" t="str">
        <f t="shared" si="1"/>
        <v>July 2011</v>
      </c>
      <c r="I20" s="6">
        <f t="shared" si="2"/>
        <v>40725</v>
      </c>
    </row>
    <row r="21">
      <c r="A21" s="2">
        <v>40756.0</v>
      </c>
      <c r="B21" s="3">
        <v>2011.0</v>
      </c>
      <c r="C21" s="3">
        <v>8.0</v>
      </c>
      <c r="D21" s="3" t="s">
        <v>7</v>
      </c>
      <c r="E21" s="3">
        <v>88.37</v>
      </c>
      <c r="F21" s="3">
        <v>106.33</v>
      </c>
      <c r="G21" s="3">
        <v>83.1</v>
      </c>
      <c r="H21" s="5" t="str">
        <f t="shared" si="1"/>
        <v>August 2011</v>
      </c>
      <c r="I21" s="6">
        <f t="shared" si="2"/>
        <v>40756</v>
      </c>
    </row>
    <row r="22">
      <c r="A22" s="2">
        <v>40787.0</v>
      </c>
      <c r="B22" s="3">
        <v>2011.0</v>
      </c>
      <c r="C22" s="3">
        <v>9.0</v>
      </c>
      <c r="D22" s="3" t="s">
        <v>7</v>
      </c>
      <c r="E22" s="3">
        <v>86.29</v>
      </c>
      <c r="F22" s="3">
        <v>102.78</v>
      </c>
      <c r="G22" s="3">
        <v>84.0</v>
      </c>
      <c r="H22" s="5" t="str">
        <f t="shared" si="1"/>
        <v>September 2011</v>
      </c>
      <c r="I22" s="6">
        <f t="shared" si="2"/>
        <v>40787</v>
      </c>
    </row>
    <row r="23">
      <c r="A23" s="4">
        <v>40817.0</v>
      </c>
      <c r="B23" s="3">
        <v>2011.0</v>
      </c>
      <c r="C23" s="3">
        <v>10.0</v>
      </c>
      <c r="D23" s="3" t="s">
        <v>7</v>
      </c>
      <c r="E23" s="3">
        <v>78.79</v>
      </c>
      <c r="F23" s="3">
        <v>91.6</v>
      </c>
      <c r="G23" s="3">
        <v>86.0</v>
      </c>
      <c r="H23" s="5" t="str">
        <f t="shared" si="1"/>
        <v>October 2011</v>
      </c>
      <c r="I23" s="6">
        <f t="shared" si="2"/>
        <v>40817</v>
      </c>
    </row>
    <row r="24">
      <c r="A24" s="4">
        <v>40848.0</v>
      </c>
      <c r="B24" s="3">
        <v>2011.0</v>
      </c>
      <c r="C24" s="3">
        <v>11.0</v>
      </c>
      <c r="D24" s="3" t="s">
        <v>7</v>
      </c>
      <c r="E24" s="3">
        <v>73.97</v>
      </c>
      <c r="F24" s="3">
        <v>88.59</v>
      </c>
      <c r="G24" s="3">
        <v>83.5</v>
      </c>
      <c r="H24" s="5" t="str">
        <f t="shared" si="1"/>
        <v>November 2011</v>
      </c>
      <c r="I24" s="6">
        <f t="shared" si="2"/>
        <v>40848</v>
      </c>
    </row>
    <row r="25">
      <c r="A25" s="4">
        <v>40878.0</v>
      </c>
      <c r="B25" s="3">
        <v>2011.0</v>
      </c>
      <c r="C25" s="3">
        <v>12.0</v>
      </c>
      <c r="D25" s="3" t="s">
        <v>7</v>
      </c>
      <c r="E25" s="3">
        <v>67.15</v>
      </c>
      <c r="F25" s="3">
        <v>83.79</v>
      </c>
      <c r="G25" s="3">
        <v>80.1</v>
      </c>
      <c r="H25" s="5" t="str">
        <f t="shared" si="1"/>
        <v>December 2011</v>
      </c>
      <c r="I25" s="6">
        <f t="shared" si="2"/>
        <v>40878</v>
      </c>
    </row>
    <row r="26">
      <c r="A26" s="2">
        <v>40909.0</v>
      </c>
      <c r="B26" s="3">
        <v>2012.0</v>
      </c>
      <c r="C26" s="3">
        <v>1.0</v>
      </c>
      <c r="D26" s="3" t="s">
        <v>7</v>
      </c>
      <c r="E26" s="3">
        <v>69.75</v>
      </c>
      <c r="F26" s="3">
        <v>85.61</v>
      </c>
      <c r="G26" s="3">
        <v>81.5</v>
      </c>
      <c r="H26" s="5" t="str">
        <f t="shared" si="1"/>
        <v>January 2012</v>
      </c>
      <c r="I26" s="6">
        <f t="shared" si="2"/>
        <v>40909</v>
      </c>
    </row>
    <row r="27">
      <c r="A27" s="2">
        <v>40940.0</v>
      </c>
      <c r="B27" s="3">
        <v>2012.0</v>
      </c>
      <c r="C27" s="3">
        <v>2.0</v>
      </c>
      <c r="D27" s="3" t="s">
        <v>7</v>
      </c>
      <c r="E27" s="3">
        <v>66.97</v>
      </c>
      <c r="F27" s="3">
        <v>81.21</v>
      </c>
      <c r="G27" s="3">
        <v>82.5</v>
      </c>
      <c r="H27" s="5" t="str">
        <f t="shared" si="1"/>
        <v>February 2012</v>
      </c>
      <c r="I27" s="6">
        <f t="shared" si="2"/>
        <v>40940</v>
      </c>
    </row>
    <row r="28">
      <c r="A28" s="2">
        <v>40969.0</v>
      </c>
      <c r="B28" s="3">
        <v>2012.0</v>
      </c>
      <c r="C28" s="3">
        <v>3.0</v>
      </c>
      <c r="D28" s="3" t="s">
        <v>7</v>
      </c>
      <c r="E28" s="3">
        <v>66.84</v>
      </c>
      <c r="F28" s="3">
        <v>78.89</v>
      </c>
      <c r="G28" s="3">
        <v>84.7</v>
      </c>
      <c r="H28" s="5" t="str">
        <f t="shared" si="1"/>
        <v>March 2012</v>
      </c>
      <c r="I28" s="6">
        <f t="shared" si="2"/>
        <v>40969</v>
      </c>
    </row>
    <row r="29">
      <c r="A29" s="2">
        <v>41000.0</v>
      </c>
      <c r="B29" s="3">
        <v>2012.0</v>
      </c>
      <c r="C29" s="3">
        <v>4.0</v>
      </c>
      <c r="D29" s="3" t="s">
        <v>7</v>
      </c>
      <c r="E29" s="3">
        <v>71.0</v>
      </c>
      <c r="F29" s="3">
        <v>90.51</v>
      </c>
      <c r="G29" s="3">
        <v>78.4</v>
      </c>
      <c r="H29" s="5" t="str">
        <f t="shared" si="1"/>
        <v>April 2012</v>
      </c>
      <c r="I29" s="6">
        <f t="shared" si="2"/>
        <v>41000</v>
      </c>
    </row>
    <row r="30">
      <c r="A30" s="2">
        <v>41030.0</v>
      </c>
      <c r="B30" s="3">
        <v>2012.0</v>
      </c>
      <c r="C30" s="3">
        <v>5.0</v>
      </c>
      <c r="D30" s="3" t="s">
        <v>7</v>
      </c>
      <c r="E30" s="3">
        <v>75.69</v>
      </c>
      <c r="F30" s="3">
        <v>91.08</v>
      </c>
      <c r="G30" s="3">
        <v>83.1</v>
      </c>
      <c r="H30" s="5" t="str">
        <f t="shared" si="1"/>
        <v>May 2012</v>
      </c>
      <c r="I30" s="6">
        <f t="shared" si="2"/>
        <v>41030</v>
      </c>
    </row>
    <row r="31">
      <c r="A31" s="2">
        <v>41061.0</v>
      </c>
      <c r="B31" s="3">
        <v>2012.0</v>
      </c>
      <c r="C31" s="3">
        <v>6.0</v>
      </c>
      <c r="D31" s="3" t="s">
        <v>7</v>
      </c>
      <c r="E31" s="3">
        <v>84.6</v>
      </c>
      <c r="F31" s="3">
        <v>107.27</v>
      </c>
      <c r="G31" s="3">
        <v>78.9</v>
      </c>
      <c r="H31" s="5" t="str">
        <f t="shared" si="1"/>
        <v>June 2012</v>
      </c>
      <c r="I31" s="6">
        <f t="shared" si="2"/>
        <v>41061</v>
      </c>
    </row>
    <row r="32">
      <c r="A32" s="2">
        <v>41091.0</v>
      </c>
      <c r="B32" s="3">
        <v>2012.0</v>
      </c>
      <c r="C32" s="3">
        <v>7.0</v>
      </c>
      <c r="D32" s="3" t="s">
        <v>7</v>
      </c>
      <c r="E32" s="3">
        <v>86.24</v>
      </c>
      <c r="F32" s="3">
        <v>106.68</v>
      </c>
      <c r="G32" s="3">
        <v>80.8</v>
      </c>
      <c r="H32" s="5" t="str">
        <f t="shared" si="1"/>
        <v>July 2012</v>
      </c>
      <c r="I32" s="6">
        <f t="shared" si="2"/>
        <v>41091</v>
      </c>
    </row>
    <row r="33">
      <c r="A33" s="2">
        <v>41122.0</v>
      </c>
      <c r="B33" s="3">
        <v>2012.0</v>
      </c>
      <c r="C33" s="3">
        <v>8.0</v>
      </c>
      <c r="D33" s="3" t="s">
        <v>7</v>
      </c>
      <c r="E33" s="3">
        <v>88.99</v>
      </c>
      <c r="F33" s="3">
        <v>112.29</v>
      </c>
      <c r="G33" s="3">
        <v>79.2</v>
      </c>
      <c r="H33" s="5" t="str">
        <f t="shared" si="1"/>
        <v>August 2012</v>
      </c>
      <c r="I33" s="6">
        <f t="shared" si="2"/>
        <v>41122</v>
      </c>
    </row>
    <row r="34">
      <c r="A34" s="2">
        <v>41153.0</v>
      </c>
      <c r="B34" s="3">
        <v>2012.0</v>
      </c>
      <c r="C34" s="3">
        <v>9.0</v>
      </c>
      <c r="D34" s="3" t="s">
        <v>7</v>
      </c>
      <c r="E34" s="3">
        <v>87.0</v>
      </c>
      <c r="F34" s="3">
        <v>108.02</v>
      </c>
      <c r="G34" s="3">
        <v>80.5</v>
      </c>
      <c r="H34" s="5" t="str">
        <f t="shared" si="1"/>
        <v>September 2012</v>
      </c>
      <c r="I34" s="6">
        <f t="shared" si="2"/>
        <v>41153</v>
      </c>
    </row>
    <row r="35">
      <c r="A35" s="4">
        <v>41183.0</v>
      </c>
      <c r="B35" s="3">
        <v>2012.0</v>
      </c>
      <c r="C35" s="3">
        <v>10.0</v>
      </c>
      <c r="D35" s="3" t="s">
        <v>7</v>
      </c>
      <c r="E35" s="3">
        <v>86.58</v>
      </c>
      <c r="F35" s="3">
        <v>103.55</v>
      </c>
      <c r="G35" s="3">
        <v>83.6</v>
      </c>
      <c r="H35" s="5" t="str">
        <f t="shared" si="1"/>
        <v>October 2012</v>
      </c>
      <c r="I35" s="6">
        <f t="shared" si="2"/>
        <v>41183</v>
      </c>
    </row>
    <row r="36">
      <c r="A36" s="4">
        <v>41214.0</v>
      </c>
      <c r="B36" s="3">
        <v>2012.0</v>
      </c>
      <c r="C36" s="3">
        <v>11.0</v>
      </c>
      <c r="D36" s="3" t="s">
        <v>7</v>
      </c>
      <c r="E36" s="3">
        <v>78.59</v>
      </c>
      <c r="F36" s="3">
        <v>96.77</v>
      </c>
      <c r="G36" s="3">
        <v>81.2</v>
      </c>
      <c r="H36" s="5" t="str">
        <f t="shared" si="1"/>
        <v>November 2012</v>
      </c>
      <c r="I36" s="6">
        <f t="shared" si="2"/>
        <v>41214</v>
      </c>
    </row>
    <row r="37">
      <c r="A37" s="4">
        <v>41244.0</v>
      </c>
      <c r="B37" s="3">
        <v>2012.0</v>
      </c>
      <c r="C37" s="3">
        <v>12.0</v>
      </c>
      <c r="D37" s="3" t="s">
        <v>7</v>
      </c>
      <c r="E37" s="3">
        <v>73.54</v>
      </c>
      <c r="F37" s="3">
        <v>91.5</v>
      </c>
      <c r="G37" s="3">
        <v>80.4</v>
      </c>
      <c r="H37" s="5" t="str">
        <f t="shared" si="1"/>
        <v>December 2012</v>
      </c>
      <c r="I37" s="6">
        <f t="shared" si="2"/>
        <v>41244</v>
      </c>
    </row>
    <row r="38">
      <c r="A38" s="2">
        <v>41275.0</v>
      </c>
      <c r="B38" s="3">
        <v>2013.0</v>
      </c>
      <c r="C38" s="3">
        <v>1.0</v>
      </c>
      <c r="D38" s="3" t="s">
        <v>7</v>
      </c>
      <c r="E38" s="3">
        <v>66.75</v>
      </c>
      <c r="F38" s="3">
        <v>83.31</v>
      </c>
      <c r="G38" s="3">
        <v>80.1</v>
      </c>
      <c r="H38" s="5" t="str">
        <f t="shared" si="1"/>
        <v>January 2013</v>
      </c>
      <c r="I38" s="6">
        <f t="shared" si="2"/>
        <v>41275</v>
      </c>
    </row>
    <row r="39">
      <c r="A39" s="2">
        <v>41306.0</v>
      </c>
      <c r="B39" s="3">
        <v>2013.0</v>
      </c>
      <c r="C39" s="3">
        <v>2.0</v>
      </c>
      <c r="D39" s="3" t="s">
        <v>7</v>
      </c>
      <c r="E39" s="3">
        <v>66.41</v>
      </c>
      <c r="F39" s="3">
        <v>83.35</v>
      </c>
      <c r="G39" s="3">
        <v>79.7</v>
      </c>
      <c r="H39" s="5" t="str">
        <f t="shared" si="1"/>
        <v>February 2013</v>
      </c>
      <c r="I39" s="6">
        <f t="shared" si="2"/>
        <v>41306</v>
      </c>
    </row>
    <row r="40">
      <c r="A40" s="2">
        <v>41334.0</v>
      </c>
      <c r="B40" s="3">
        <v>2013.0</v>
      </c>
      <c r="C40" s="3">
        <v>3.0</v>
      </c>
      <c r="D40" s="3" t="s">
        <v>7</v>
      </c>
      <c r="E40" s="3">
        <v>69.83</v>
      </c>
      <c r="F40" s="3">
        <v>83.67</v>
      </c>
      <c r="G40" s="3">
        <v>83.5</v>
      </c>
      <c r="H40" s="5" t="str">
        <f t="shared" si="1"/>
        <v>March 2013</v>
      </c>
      <c r="I40" s="6">
        <f t="shared" si="2"/>
        <v>41334</v>
      </c>
    </row>
    <row r="41">
      <c r="A41" s="2">
        <v>41365.0</v>
      </c>
      <c r="B41" s="3">
        <v>2013.0</v>
      </c>
      <c r="C41" s="3">
        <v>4.0</v>
      </c>
      <c r="D41" s="3" t="s">
        <v>7</v>
      </c>
      <c r="E41" s="3">
        <v>70.65</v>
      </c>
      <c r="F41" s="3">
        <v>86.1</v>
      </c>
      <c r="G41" s="3">
        <v>82.1</v>
      </c>
      <c r="H41" s="5" t="str">
        <f t="shared" si="1"/>
        <v>April 2013</v>
      </c>
      <c r="I41" s="6">
        <f t="shared" si="2"/>
        <v>41365</v>
      </c>
    </row>
    <row r="42">
      <c r="A42" s="2">
        <v>41395.0</v>
      </c>
      <c r="B42" s="3">
        <v>2013.0</v>
      </c>
      <c r="C42" s="3">
        <v>5.0</v>
      </c>
      <c r="D42" s="3" t="s">
        <v>7</v>
      </c>
      <c r="E42" s="3">
        <v>79.81</v>
      </c>
      <c r="F42" s="3">
        <v>96.52</v>
      </c>
      <c r="G42" s="3">
        <v>82.7</v>
      </c>
      <c r="H42" s="5" t="str">
        <f t="shared" si="1"/>
        <v>May 2013</v>
      </c>
      <c r="I42" s="6">
        <f t="shared" si="2"/>
        <v>41395</v>
      </c>
    </row>
    <row r="43">
      <c r="A43" s="2">
        <v>41426.0</v>
      </c>
      <c r="B43" s="3">
        <v>2013.0</v>
      </c>
      <c r="C43" s="3">
        <v>6.0</v>
      </c>
      <c r="D43" s="3" t="s">
        <v>7</v>
      </c>
      <c r="E43" s="3">
        <v>86.58</v>
      </c>
      <c r="F43" s="3">
        <v>109.46</v>
      </c>
      <c r="G43" s="3">
        <v>79.1</v>
      </c>
      <c r="H43" s="5" t="str">
        <f t="shared" si="1"/>
        <v>June 2013</v>
      </c>
      <c r="I43" s="6">
        <f t="shared" si="2"/>
        <v>41426</v>
      </c>
    </row>
    <row r="44">
      <c r="A44" s="2">
        <v>41456.0</v>
      </c>
      <c r="B44" s="3">
        <v>2013.0</v>
      </c>
      <c r="C44" s="3">
        <v>7.0</v>
      </c>
      <c r="D44" s="3" t="s">
        <v>7</v>
      </c>
      <c r="E44" s="3">
        <v>87.9</v>
      </c>
      <c r="F44" s="3">
        <v>107.12</v>
      </c>
      <c r="G44" s="3">
        <v>82.1</v>
      </c>
      <c r="H44" s="5" t="str">
        <f t="shared" si="1"/>
        <v>July 2013</v>
      </c>
      <c r="I44" s="6">
        <f t="shared" si="2"/>
        <v>41456</v>
      </c>
    </row>
    <row r="45">
      <c r="A45" s="2">
        <v>41487.0</v>
      </c>
      <c r="B45" s="3">
        <v>2013.0</v>
      </c>
      <c r="C45" s="3">
        <v>8.0</v>
      </c>
      <c r="D45" s="3" t="s">
        <v>7</v>
      </c>
      <c r="E45" s="3">
        <v>96.11</v>
      </c>
      <c r="F45" s="3">
        <v>123.9</v>
      </c>
      <c r="G45" s="3">
        <v>77.6</v>
      </c>
      <c r="H45" s="5" t="str">
        <f t="shared" si="1"/>
        <v>August 2013</v>
      </c>
      <c r="I45" s="6">
        <f t="shared" si="2"/>
        <v>41487</v>
      </c>
    </row>
    <row r="46">
      <c r="A46" s="2">
        <v>41518.0</v>
      </c>
      <c r="B46" s="3">
        <v>2013.0</v>
      </c>
      <c r="C46" s="3">
        <v>9.0</v>
      </c>
      <c r="D46" s="3" t="s">
        <v>7</v>
      </c>
      <c r="E46" s="3">
        <v>92.78</v>
      </c>
      <c r="F46" s="3">
        <v>109.96</v>
      </c>
      <c r="G46" s="3">
        <v>84.4</v>
      </c>
      <c r="H46" s="5" t="str">
        <f t="shared" si="1"/>
        <v>September 2013</v>
      </c>
      <c r="I46" s="6">
        <f t="shared" si="2"/>
        <v>41518</v>
      </c>
    </row>
    <row r="47">
      <c r="A47" s="4">
        <v>41548.0</v>
      </c>
      <c r="B47" s="3">
        <v>2013.0</v>
      </c>
      <c r="C47" s="3">
        <v>10.0</v>
      </c>
      <c r="D47" s="3" t="s">
        <v>7</v>
      </c>
      <c r="E47" s="3">
        <v>87.21</v>
      </c>
      <c r="F47" s="3">
        <v>104.95</v>
      </c>
      <c r="G47" s="3">
        <v>83.1</v>
      </c>
      <c r="H47" s="5" t="str">
        <f t="shared" si="1"/>
        <v>October 2013</v>
      </c>
      <c r="I47" s="6">
        <f t="shared" si="2"/>
        <v>41548</v>
      </c>
    </row>
    <row r="48">
      <c r="A48" s="4">
        <v>41579.0</v>
      </c>
      <c r="B48" s="3">
        <v>2013.0</v>
      </c>
      <c r="C48" s="3">
        <v>11.0</v>
      </c>
      <c r="D48" s="3" t="s">
        <v>7</v>
      </c>
      <c r="E48" s="3">
        <v>80.03</v>
      </c>
      <c r="F48" s="3">
        <v>97.88</v>
      </c>
      <c r="G48" s="3">
        <v>81.8</v>
      </c>
      <c r="H48" s="5" t="str">
        <f t="shared" si="1"/>
        <v>November 2013</v>
      </c>
      <c r="I48" s="6">
        <f t="shared" si="2"/>
        <v>41579</v>
      </c>
    </row>
    <row r="49">
      <c r="A49" s="4">
        <v>41609.0</v>
      </c>
      <c r="B49" s="3">
        <v>2013.0</v>
      </c>
      <c r="C49" s="3">
        <v>12.0</v>
      </c>
      <c r="D49" s="3" t="s">
        <v>7</v>
      </c>
      <c r="E49" s="3">
        <v>72.22</v>
      </c>
      <c r="F49" s="3">
        <v>93.42</v>
      </c>
      <c r="G49" s="3">
        <v>77.3</v>
      </c>
      <c r="H49" s="5" t="str">
        <f t="shared" si="1"/>
        <v>December 2013</v>
      </c>
      <c r="I49" s="6">
        <f t="shared" si="2"/>
        <v>41609</v>
      </c>
    </row>
    <row r="50">
      <c r="A50" s="2">
        <v>41640.0</v>
      </c>
      <c r="B50" s="3">
        <v>2014.0</v>
      </c>
      <c r="C50" s="3">
        <v>1.0</v>
      </c>
      <c r="D50" s="3" t="s">
        <v>7</v>
      </c>
      <c r="E50" s="3">
        <v>73.57</v>
      </c>
      <c r="F50" s="3">
        <v>91.93</v>
      </c>
      <c r="G50" s="3">
        <v>80.0</v>
      </c>
      <c r="H50" s="5" t="str">
        <f t="shared" si="1"/>
        <v>January 2014</v>
      </c>
      <c r="I50" s="6">
        <f t="shared" si="2"/>
        <v>41640</v>
      </c>
    </row>
    <row r="51">
      <c r="A51" s="2">
        <v>41671.0</v>
      </c>
      <c r="B51" s="3">
        <v>2014.0</v>
      </c>
      <c r="C51" s="3">
        <v>2.0</v>
      </c>
      <c r="D51" s="3" t="s">
        <v>7</v>
      </c>
      <c r="E51" s="3">
        <v>69.12</v>
      </c>
      <c r="F51" s="3">
        <v>87.24</v>
      </c>
      <c r="G51" s="3">
        <v>79.2</v>
      </c>
      <c r="H51" s="5" t="str">
        <f t="shared" si="1"/>
        <v>February 2014</v>
      </c>
      <c r="I51" s="6">
        <f t="shared" si="2"/>
        <v>41671</v>
      </c>
    </row>
    <row r="52">
      <c r="A52" s="2">
        <v>41699.0</v>
      </c>
      <c r="B52" s="3">
        <v>2014.0</v>
      </c>
      <c r="C52" s="3">
        <v>3.0</v>
      </c>
      <c r="D52" s="3" t="s">
        <v>7</v>
      </c>
      <c r="E52" s="3">
        <v>68.95</v>
      </c>
      <c r="F52" s="3">
        <v>84.44</v>
      </c>
      <c r="G52" s="3">
        <v>81.7</v>
      </c>
      <c r="H52" s="5" t="str">
        <f t="shared" si="1"/>
        <v>March 2014</v>
      </c>
      <c r="I52" s="6">
        <f t="shared" si="2"/>
        <v>41699</v>
      </c>
    </row>
    <row r="53">
      <c r="A53" s="2">
        <v>41730.0</v>
      </c>
      <c r="B53" s="3">
        <v>2014.0</v>
      </c>
      <c r="C53" s="3">
        <v>4.0</v>
      </c>
      <c r="D53" s="3" t="s">
        <v>7</v>
      </c>
      <c r="E53" s="3">
        <v>75.02</v>
      </c>
      <c r="F53" s="3">
        <v>90.65</v>
      </c>
      <c r="G53" s="3">
        <v>82.8</v>
      </c>
      <c r="H53" s="5" t="str">
        <f t="shared" si="1"/>
        <v>April 2014</v>
      </c>
      <c r="I53" s="6">
        <f t="shared" si="2"/>
        <v>41730</v>
      </c>
    </row>
    <row r="54">
      <c r="A54" s="2">
        <v>41760.0</v>
      </c>
      <c r="B54" s="3">
        <v>2014.0</v>
      </c>
      <c r="C54" s="3">
        <v>5.0</v>
      </c>
      <c r="D54" s="3" t="s">
        <v>7</v>
      </c>
      <c r="E54" s="3">
        <v>84.27</v>
      </c>
      <c r="F54" s="3">
        <v>101.97</v>
      </c>
      <c r="G54" s="3">
        <v>82.6</v>
      </c>
      <c r="H54" s="5" t="str">
        <f t="shared" si="1"/>
        <v>May 2014</v>
      </c>
      <c r="I54" s="6">
        <f t="shared" si="2"/>
        <v>41760</v>
      </c>
    </row>
    <row r="55">
      <c r="A55" s="2">
        <v>41791.0</v>
      </c>
      <c r="B55" s="3">
        <v>2014.0</v>
      </c>
      <c r="C55" s="3">
        <v>6.0</v>
      </c>
      <c r="D55" s="3" t="s">
        <v>7</v>
      </c>
      <c r="E55" s="3">
        <v>90.26</v>
      </c>
      <c r="F55" s="3">
        <v>106.0</v>
      </c>
      <c r="G55" s="3">
        <v>85.2</v>
      </c>
      <c r="H55" s="5" t="str">
        <f t="shared" si="1"/>
        <v>June 2014</v>
      </c>
      <c r="I55" s="6">
        <f t="shared" si="2"/>
        <v>41791</v>
      </c>
    </row>
    <row r="56">
      <c r="A56" s="2">
        <v>41821.0</v>
      </c>
      <c r="B56" s="3">
        <v>2014.0</v>
      </c>
      <c r="C56" s="3">
        <v>7.0</v>
      </c>
      <c r="D56" s="3" t="s">
        <v>7</v>
      </c>
      <c r="E56" s="3">
        <v>91.48</v>
      </c>
      <c r="F56" s="3">
        <v>111.71</v>
      </c>
      <c r="G56" s="3">
        <v>81.9</v>
      </c>
      <c r="H56" s="5" t="str">
        <f t="shared" si="1"/>
        <v>July 2014</v>
      </c>
      <c r="I56" s="6">
        <f t="shared" si="2"/>
        <v>41821</v>
      </c>
    </row>
    <row r="57">
      <c r="A57" s="2">
        <v>41852.0</v>
      </c>
      <c r="B57" s="3">
        <v>2014.0</v>
      </c>
      <c r="C57" s="3">
        <v>8.0</v>
      </c>
      <c r="D57" s="3" t="s">
        <v>7</v>
      </c>
      <c r="E57" s="3">
        <v>99.74</v>
      </c>
      <c r="F57" s="3">
        <v>118.0</v>
      </c>
      <c r="G57" s="3">
        <v>84.5</v>
      </c>
      <c r="H57" s="5" t="str">
        <f t="shared" si="1"/>
        <v>August 2014</v>
      </c>
      <c r="I57" s="6">
        <f t="shared" si="2"/>
        <v>41852</v>
      </c>
    </row>
    <row r="58">
      <c r="A58" s="2">
        <v>41883.0</v>
      </c>
      <c r="B58" s="3">
        <v>2014.0</v>
      </c>
      <c r="C58" s="3">
        <v>9.0</v>
      </c>
      <c r="D58" s="3" t="s">
        <v>7</v>
      </c>
      <c r="E58" s="3">
        <v>91.02</v>
      </c>
      <c r="F58" s="3">
        <v>111.85</v>
      </c>
      <c r="G58" s="3">
        <v>81.4</v>
      </c>
      <c r="H58" s="5" t="str">
        <f t="shared" si="1"/>
        <v>September 2014</v>
      </c>
      <c r="I58" s="6">
        <f t="shared" si="2"/>
        <v>41883</v>
      </c>
    </row>
    <row r="59">
      <c r="A59" s="4">
        <v>41913.0</v>
      </c>
      <c r="B59" s="3">
        <v>2014.0</v>
      </c>
      <c r="C59" s="3">
        <v>10.0</v>
      </c>
      <c r="D59" s="3" t="s">
        <v>7</v>
      </c>
      <c r="E59" s="3">
        <v>94.39</v>
      </c>
      <c r="F59" s="3">
        <v>113.7</v>
      </c>
      <c r="G59" s="3">
        <v>83.0</v>
      </c>
      <c r="H59" s="5" t="str">
        <f t="shared" si="1"/>
        <v>October 2014</v>
      </c>
      <c r="I59" s="6">
        <f t="shared" si="2"/>
        <v>41913</v>
      </c>
    </row>
    <row r="60">
      <c r="A60" s="4">
        <v>41944.0</v>
      </c>
      <c r="B60" s="3">
        <v>2014.0</v>
      </c>
      <c r="C60" s="3">
        <v>11.0</v>
      </c>
      <c r="D60" s="3" t="s">
        <v>7</v>
      </c>
      <c r="E60" s="3">
        <v>85.03</v>
      </c>
      <c r="F60" s="3">
        <v>104.25</v>
      </c>
      <c r="G60" s="3">
        <v>81.6</v>
      </c>
      <c r="H60" s="5" t="str">
        <f t="shared" si="1"/>
        <v>November 2014</v>
      </c>
      <c r="I60" s="6">
        <f t="shared" si="2"/>
        <v>41944</v>
      </c>
    </row>
    <row r="61">
      <c r="A61" s="4">
        <v>41974.0</v>
      </c>
      <c r="B61" s="3">
        <v>2014.0</v>
      </c>
      <c r="C61" s="3">
        <v>12.0</v>
      </c>
      <c r="D61" s="3" t="s">
        <v>7</v>
      </c>
      <c r="E61" s="3">
        <v>77.51</v>
      </c>
      <c r="F61" s="3">
        <v>93.87</v>
      </c>
      <c r="G61" s="3">
        <v>82.6</v>
      </c>
      <c r="H61" s="5" t="str">
        <f t="shared" si="1"/>
        <v>December 2014</v>
      </c>
      <c r="I61" s="6">
        <f t="shared" si="2"/>
        <v>41974</v>
      </c>
    </row>
    <row r="62">
      <c r="A62" s="2">
        <v>42005.0</v>
      </c>
      <c r="B62" s="3">
        <v>2015.0</v>
      </c>
      <c r="C62" s="3">
        <v>1.0</v>
      </c>
      <c r="D62" s="3" t="s">
        <v>7</v>
      </c>
      <c r="E62" s="3">
        <v>73.4</v>
      </c>
      <c r="F62" s="3">
        <v>89.61</v>
      </c>
      <c r="G62" s="3">
        <v>81.9</v>
      </c>
      <c r="H62" s="5" t="str">
        <f t="shared" si="1"/>
        <v>January 2015</v>
      </c>
      <c r="I62" s="6">
        <f t="shared" si="2"/>
        <v>42005</v>
      </c>
    </row>
    <row r="63">
      <c r="A63" s="2">
        <v>42036.0</v>
      </c>
      <c r="B63" s="3">
        <v>2015.0</v>
      </c>
      <c r="C63" s="3">
        <v>2.0</v>
      </c>
      <c r="D63" s="3" t="s">
        <v>7</v>
      </c>
      <c r="E63" s="3">
        <v>72.62</v>
      </c>
      <c r="F63" s="3">
        <v>90.05</v>
      </c>
      <c r="G63" s="3">
        <v>80.6</v>
      </c>
      <c r="H63" s="5" t="str">
        <f t="shared" si="1"/>
        <v>February 2015</v>
      </c>
      <c r="I63" s="6">
        <f t="shared" si="2"/>
        <v>42036</v>
      </c>
    </row>
    <row r="64">
      <c r="A64" s="2">
        <v>42064.0</v>
      </c>
      <c r="B64" s="3">
        <v>2015.0</v>
      </c>
      <c r="C64" s="3">
        <v>3.0</v>
      </c>
      <c r="D64" s="3" t="s">
        <v>7</v>
      </c>
      <c r="E64" s="3">
        <v>75.55</v>
      </c>
      <c r="F64" s="3">
        <v>86.02</v>
      </c>
      <c r="G64" s="3">
        <v>87.8</v>
      </c>
      <c r="H64" s="5" t="str">
        <f t="shared" si="1"/>
        <v>March 2015</v>
      </c>
      <c r="I64" s="6">
        <f t="shared" si="2"/>
        <v>42064</v>
      </c>
    </row>
    <row r="65">
      <c r="A65" s="2">
        <v>42095.0</v>
      </c>
      <c r="B65" s="3">
        <v>2015.0</v>
      </c>
      <c r="C65" s="3">
        <v>4.0</v>
      </c>
      <c r="D65" s="3" t="s">
        <v>7</v>
      </c>
      <c r="E65" s="3">
        <v>75.15</v>
      </c>
      <c r="F65" s="3">
        <v>90.92</v>
      </c>
      <c r="G65" s="3">
        <v>82.6</v>
      </c>
      <c r="H65" s="5" t="str">
        <f t="shared" si="1"/>
        <v>April 2015</v>
      </c>
      <c r="I65" s="6">
        <f t="shared" si="2"/>
        <v>42095</v>
      </c>
    </row>
    <row r="66">
      <c r="A66" s="2">
        <v>42125.0</v>
      </c>
      <c r="B66" s="3">
        <v>2015.0</v>
      </c>
      <c r="C66" s="3">
        <v>5.0</v>
      </c>
      <c r="D66" s="3" t="s">
        <v>7</v>
      </c>
      <c r="E66" s="3">
        <v>83.98</v>
      </c>
      <c r="F66" s="3">
        <v>100.99</v>
      </c>
      <c r="G66" s="3">
        <v>83.2</v>
      </c>
      <c r="H66" s="5" t="str">
        <f t="shared" si="1"/>
        <v>May 2015</v>
      </c>
      <c r="I66" s="6">
        <f t="shared" si="2"/>
        <v>42125</v>
      </c>
    </row>
    <row r="67">
      <c r="A67" s="2">
        <v>42156.0</v>
      </c>
      <c r="B67" s="3">
        <v>2015.0</v>
      </c>
      <c r="C67" s="3">
        <v>6.0</v>
      </c>
      <c r="D67" s="3" t="s">
        <v>7</v>
      </c>
      <c r="E67" s="3">
        <v>92.74</v>
      </c>
      <c r="F67" s="3">
        <v>111.03</v>
      </c>
      <c r="G67" s="3">
        <v>83.5</v>
      </c>
      <c r="H67" s="5" t="str">
        <f t="shared" si="1"/>
        <v>June 2015</v>
      </c>
      <c r="I67" s="6">
        <f t="shared" si="2"/>
        <v>42156</v>
      </c>
    </row>
    <row r="68">
      <c r="A68" s="2">
        <v>42186.0</v>
      </c>
      <c r="B68" s="3">
        <v>2015.0</v>
      </c>
      <c r="C68" s="3">
        <v>7.0</v>
      </c>
      <c r="D68" s="3" t="s">
        <v>7</v>
      </c>
      <c r="E68" s="3">
        <v>101.1</v>
      </c>
      <c r="F68" s="3">
        <v>122.72</v>
      </c>
      <c r="G68" s="3">
        <v>82.4</v>
      </c>
      <c r="H68" s="5" t="str">
        <f t="shared" si="1"/>
        <v>July 2015</v>
      </c>
      <c r="I68" s="6">
        <f t="shared" si="2"/>
        <v>42186</v>
      </c>
    </row>
    <row r="69">
      <c r="A69" s="2">
        <v>42217.0</v>
      </c>
      <c r="B69" s="3">
        <v>2015.0</v>
      </c>
      <c r="C69" s="3">
        <v>8.0</v>
      </c>
      <c r="D69" s="3" t="s">
        <v>7</v>
      </c>
      <c r="E69" s="3">
        <v>103.04</v>
      </c>
      <c r="F69" s="3">
        <v>133.27</v>
      </c>
      <c r="G69" s="3">
        <v>77.3</v>
      </c>
      <c r="H69" s="5" t="str">
        <f t="shared" si="1"/>
        <v>August 2015</v>
      </c>
      <c r="I69" s="6">
        <f t="shared" si="2"/>
        <v>42217</v>
      </c>
    </row>
    <row r="70">
      <c r="A70" s="2">
        <v>42248.0</v>
      </c>
      <c r="B70" s="3">
        <v>2015.0</v>
      </c>
      <c r="C70" s="3">
        <v>9.0</v>
      </c>
      <c r="D70" s="3" t="s">
        <v>7</v>
      </c>
      <c r="E70" s="3">
        <v>102.91</v>
      </c>
      <c r="F70" s="3">
        <v>124.36</v>
      </c>
      <c r="G70" s="3">
        <v>82.8</v>
      </c>
      <c r="H70" s="5" t="str">
        <f t="shared" si="1"/>
        <v>September 2015</v>
      </c>
      <c r="I70" s="6">
        <f t="shared" si="2"/>
        <v>42248</v>
      </c>
    </row>
    <row r="71">
      <c r="A71" s="4">
        <v>42278.0</v>
      </c>
      <c r="B71" s="3">
        <v>2015.0</v>
      </c>
      <c r="C71" s="3">
        <v>10.0</v>
      </c>
      <c r="D71" s="3" t="s">
        <v>7</v>
      </c>
      <c r="E71" s="3">
        <v>96.67</v>
      </c>
      <c r="F71" s="3">
        <v>121.5</v>
      </c>
      <c r="G71" s="3">
        <v>79.6</v>
      </c>
      <c r="H71" s="5" t="str">
        <f t="shared" si="1"/>
        <v>October 2015</v>
      </c>
      <c r="I71" s="6">
        <f t="shared" si="2"/>
        <v>42278</v>
      </c>
    </row>
    <row r="72">
      <c r="A72" s="4">
        <v>42309.0</v>
      </c>
      <c r="B72" s="3">
        <v>2015.0</v>
      </c>
      <c r="C72" s="3">
        <v>11.0</v>
      </c>
      <c r="D72" s="3" t="s">
        <v>7</v>
      </c>
      <c r="E72" s="3">
        <v>85.14</v>
      </c>
      <c r="F72" s="3">
        <v>103.46</v>
      </c>
      <c r="G72" s="3">
        <v>82.3</v>
      </c>
      <c r="H72" s="5" t="str">
        <f t="shared" si="1"/>
        <v>November 2015</v>
      </c>
      <c r="I72" s="6">
        <f t="shared" si="2"/>
        <v>42309</v>
      </c>
    </row>
    <row r="73">
      <c r="A73" s="4">
        <v>42339.0</v>
      </c>
      <c r="B73" s="3">
        <v>2015.0</v>
      </c>
      <c r="C73" s="3">
        <v>12.0</v>
      </c>
      <c r="D73" s="3" t="s">
        <v>7</v>
      </c>
      <c r="E73" s="3">
        <v>80.92</v>
      </c>
      <c r="F73" s="3">
        <v>98.0</v>
      </c>
      <c r="G73" s="3">
        <v>82.6</v>
      </c>
      <c r="H73" s="5" t="str">
        <f t="shared" si="1"/>
        <v>December 2015</v>
      </c>
      <c r="I73" s="6">
        <f t="shared" si="2"/>
        <v>42339</v>
      </c>
    </row>
    <row r="74">
      <c r="A74" s="2">
        <v>42370.0</v>
      </c>
      <c r="B74" s="3">
        <v>2016.0</v>
      </c>
      <c r="C74" s="3">
        <v>1.0</v>
      </c>
      <c r="D74" s="3" t="s">
        <v>7</v>
      </c>
      <c r="E74" s="3">
        <v>78.88</v>
      </c>
      <c r="F74" s="3">
        <v>100.52</v>
      </c>
      <c r="G74" s="3">
        <v>78.5</v>
      </c>
      <c r="H74" s="5" t="str">
        <f t="shared" si="1"/>
        <v>January 2016</v>
      </c>
      <c r="I74" s="6">
        <f t="shared" si="2"/>
        <v>42370</v>
      </c>
    </row>
    <row r="75">
      <c r="A75" s="2">
        <v>42401.0</v>
      </c>
      <c r="B75" s="3">
        <v>2016.0</v>
      </c>
      <c r="C75" s="3">
        <v>2.0</v>
      </c>
      <c r="D75" s="3" t="s">
        <v>7</v>
      </c>
      <c r="E75" s="3">
        <v>77.0</v>
      </c>
      <c r="F75" s="3">
        <v>93.88</v>
      </c>
      <c r="G75" s="3">
        <v>82.0</v>
      </c>
      <c r="H75" s="5" t="str">
        <f t="shared" si="1"/>
        <v>February 2016</v>
      </c>
      <c r="I75" s="6">
        <f t="shared" si="2"/>
        <v>42401</v>
      </c>
    </row>
    <row r="76">
      <c r="A76" s="2">
        <v>42430.0</v>
      </c>
      <c r="B76" s="3">
        <v>2016.0</v>
      </c>
      <c r="C76" s="3">
        <v>3.0</v>
      </c>
      <c r="D76" s="3" t="s">
        <v>7</v>
      </c>
      <c r="E76" s="3">
        <v>76.28</v>
      </c>
      <c r="F76" s="3">
        <v>96.49</v>
      </c>
      <c r="G76" s="3">
        <v>79.1</v>
      </c>
      <c r="H76" s="5" t="str">
        <f t="shared" si="1"/>
        <v>March 2016</v>
      </c>
      <c r="I76" s="6">
        <f t="shared" si="2"/>
        <v>42430</v>
      </c>
    </row>
    <row r="77">
      <c r="A77" s="2">
        <v>42461.0</v>
      </c>
      <c r="B77" s="3">
        <v>2016.0</v>
      </c>
      <c r="C77" s="3">
        <v>4.0</v>
      </c>
      <c r="D77" s="3" t="s">
        <v>7</v>
      </c>
      <c r="E77" s="3">
        <v>83.05</v>
      </c>
      <c r="F77" s="3">
        <v>107.62</v>
      </c>
      <c r="G77" s="3">
        <v>77.2</v>
      </c>
      <c r="H77" s="5" t="str">
        <f t="shared" si="1"/>
        <v>April 2016</v>
      </c>
      <c r="I77" s="6">
        <f t="shared" si="2"/>
        <v>42461</v>
      </c>
    </row>
    <row r="78">
      <c r="A78" s="2">
        <v>42491.0</v>
      </c>
      <c r="B78" s="3">
        <v>2016.0</v>
      </c>
      <c r="C78" s="3">
        <v>5.0</v>
      </c>
      <c r="D78" s="3" t="s">
        <v>7</v>
      </c>
      <c r="E78" s="3">
        <v>90.41</v>
      </c>
      <c r="F78" s="3">
        <v>114.42</v>
      </c>
      <c r="G78" s="3">
        <v>79.0</v>
      </c>
      <c r="H78" s="5" t="str">
        <f t="shared" si="1"/>
        <v>May 2016</v>
      </c>
      <c r="I78" s="6">
        <f t="shared" si="2"/>
        <v>42491</v>
      </c>
    </row>
    <row r="79">
      <c r="A79" s="2">
        <v>42522.0</v>
      </c>
      <c r="B79" s="3">
        <v>2016.0</v>
      </c>
      <c r="C79" s="3">
        <v>6.0</v>
      </c>
      <c r="D79" s="3" t="s">
        <v>7</v>
      </c>
      <c r="E79" s="3">
        <v>95.72</v>
      </c>
      <c r="F79" s="3">
        <v>117.07</v>
      </c>
      <c r="G79" s="3">
        <v>81.8</v>
      </c>
      <c r="H79" s="5" t="str">
        <f t="shared" si="1"/>
        <v>June 2016</v>
      </c>
      <c r="I79" s="6">
        <f t="shared" si="2"/>
        <v>42522</v>
      </c>
    </row>
    <row r="80">
      <c r="A80" s="2">
        <v>42552.0</v>
      </c>
      <c r="B80" s="3">
        <v>2016.0</v>
      </c>
      <c r="C80" s="3">
        <v>7.0</v>
      </c>
      <c r="D80" s="3" t="s">
        <v>7</v>
      </c>
      <c r="E80" s="3">
        <v>104.3</v>
      </c>
      <c r="F80" s="3">
        <v>127.75</v>
      </c>
      <c r="G80" s="3">
        <v>81.6</v>
      </c>
      <c r="H80" s="5" t="str">
        <f t="shared" si="1"/>
        <v>July 2016</v>
      </c>
      <c r="I80" s="6">
        <f t="shared" si="2"/>
        <v>42552</v>
      </c>
    </row>
    <row r="81">
      <c r="A81" s="2">
        <v>42583.0</v>
      </c>
      <c r="B81" s="3">
        <v>2016.0</v>
      </c>
      <c r="C81" s="3">
        <v>8.0</v>
      </c>
      <c r="D81" s="3" t="s">
        <v>7</v>
      </c>
      <c r="E81" s="3">
        <v>100.64</v>
      </c>
      <c r="F81" s="3">
        <v>124.27</v>
      </c>
      <c r="G81" s="3">
        <v>81.0</v>
      </c>
      <c r="H81" s="5" t="str">
        <f t="shared" si="1"/>
        <v>August 2016</v>
      </c>
      <c r="I81" s="6">
        <f t="shared" si="2"/>
        <v>42583</v>
      </c>
    </row>
    <row r="82">
      <c r="A82" s="2">
        <v>42614.0</v>
      </c>
      <c r="B82" s="3">
        <v>2016.0</v>
      </c>
      <c r="C82" s="3">
        <v>9.0</v>
      </c>
      <c r="D82" s="3" t="s">
        <v>7</v>
      </c>
      <c r="E82" s="3">
        <v>105.16</v>
      </c>
      <c r="F82" s="3">
        <v>126.59</v>
      </c>
      <c r="G82" s="3">
        <v>83.1</v>
      </c>
      <c r="H82" s="5" t="str">
        <f t="shared" si="1"/>
        <v>September 2016</v>
      </c>
      <c r="I82" s="6">
        <f t="shared" si="2"/>
        <v>42614</v>
      </c>
    </row>
    <row r="83">
      <c r="A83" s="4">
        <v>42644.0</v>
      </c>
      <c r="B83" s="3">
        <v>2016.0</v>
      </c>
      <c r="C83" s="3">
        <v>10.0</v>
      </c>
      <c r="D83" s="3" t="s">
        <v>7</v>
      </c>
      <c r="E83" s="3">
        <v>95.44</v>
      </c>
      <c r="F83" s="3">
        <v>117.06</v>
      </c>
      <c r="G83" s="3">
        <v>81.5</v>
      </c>
      <c r="H83" s="5" t="str">
        <f t="shared" si="1"/>
        <v>October 2016</v>
      </c>
      <c r="I83" s="6">
        <f t="shared" si="2"/>
        <v>42644</v>
      </c>
    </row>
    <row r="84">
      <c r="A84" s="4">
        <v>42675.0</v>
      </c>
      <c r="B84" s="3">
        <v>2016.0</v>
      </c>
      <c r="C84" s="3">
        <v>11.0</v>
      </c>
      <c r="D84" s="3" t="s">
        <v>7</v>
      </c>
      <c r="E84" s="3">
        <v>85.91</v>
      </c>
      <c r="F84" s="3">
        <v>103.78</v>
      </c>
      <c r="G84" s="3">
        <v>82.8</v>
      </c>
      <c r="H84" s="5" t="str">
        <f t="shared" si="1"/>
        <v>November 2016</v>
      </c>
      <c r="I84" s="6">
        <f t="shared" si="2"/>
        <v>42675</v>
      </c>
    </row>
    <row r="85">
      <c r="A85" s="4">
        <v>42705.0</v>
      </c>
      <c r="B85" s="3">
        <v>2016.0</v>
      </c>
      <c r="C85" s="3">
        <v>12.0</v>
      </c>
      <c r="D85" s="3" t="s">
        <v>7</v>
      </c>
      <c r="E85" s="3">
        <v>79.21</v>
      </c>
      <c r="F85" s="3">
        <v>94.85</v>
      </c>
      <c r="G85" s="3">
        <v>83.5</v>
      </c>
      <c r="H85" s="5" t="str">
        <f t="shared" si="1"/>
        <v>December 2016</v>
      </c>
      <c r="I85" s="6">
        <f t="shared" si="2"/>
        <v>42705</v>
      </c>
    </row>
    <row r="86">
      <c r="A86" s="2">
        <v>42736.0</v>
      </c>
      <c r="B86" s="3">
        <v>2017.0</v>
      </c>
      <c r="C86" s="3">
        <v>1.0</v>
      </c>
      <c r="D86" s="3" t="s">
        <v>7</v>
      </c>
      <c r="E86" s="3">
        <v>79.05</v>
      </c>
      <c r="F86" s="3">
        <v>91.1</v>
      </c>
      <c r="G86" s="3">
        <v>86.8</v>
      </c>
      <c r="H86" s="5" t="str">
        <f t="shared" si="1"/>
        <v>January 2017</v>
      </c>
      <c r="I86" s="6">
        <f t="shared" si="2"/>
        <v>42736</v>
      </c>
    </row>
    <row r="87">
      <c r="A87" s="2">
        <v>42767.0</v>
      </c>
      <c r="B87" s="3">
        <v>2017.0</v>
      </c>
      <c r="C87" s="3">
        <v>2.0</v>
      </c>
      <c r="D87" s="3" t="s">
        <v>7</v>
      </c>
      <c r="E87" s="3">
        <v>74.62</v>
      </c>
      <c r="F87" s="3">
        <v>91.22</v>
      </c>
      <c r="G87" s="3">
        <v>81.8</v>
      </c>
      <c r="H87" s="5" t="str">
        <f t="shared" si="1"/>
        <v>February 2017</v>
      </c>
      <c r="I87" s="6">
        <f t="shared" si="2"/>
        <v>42767</v>
      </c>
    </row>
    <row r="88">
      <c r="A88" s="2">
        <v>42795.0</v>
      </c>
      <c r="B88" s="3">
        <v>2017.0</v>
      </c>
      <c r="C88" s="3">
        <v>3.0</v>
      </c>
      <c r="D88" s="3" t="s">
        <v>7</v>
      </c>
      <c r="E88" s="3">
        <v>83.53</v>
      </c>
      <c r="F88" s="3">
        <v>98.99</v>
      </c>
      <c r="G88" s="3">
        <v>84.4</v>
      </c>
      <c r="H88" s="5" t="str">
        <f t="shared" si="1"/>
        <v>March 2017</v>
      </c>
      <c r="I88" s="6">
        <f t="shared" si="2"/>
        <v>42795</v>
      </c>
    </row>
    <row r="89">
      <c r="A89" s="2">
        <v>42826.0</v>
      </c>
      <c r="B89" s="3">
        <v>2017.0</v>
      </c>
      <c r="C89" s="3">
        <v>4.0</v>
      </c>
      <c r="D89" s="3" t="s">
        <v>7</v>
      </c>
      <c r="E89" s="3">
        <v>82.6</v>
      </c>
      <c r="F89" s="3">
        <v>100.19</v>
      </c>
      <c r="G89" s="3">
        <v>82.4</v>
      </c>
      <c r="H89" s="5" t="str">
        <f t="shared" si="1"/>
        <v>April 2017</v>
      </c>
      <c r="I89" s="6">
        <f t="shared" si="2"/>
        <v>42826</v>
      </c>
    </row>
    <row r="90">
      <c r="A90" s="2">
        <v>42856.0</v>
      </c>
      <c r="B90" s="3">
        <v>2017.0</v>
      </c>
      <c r="C90" s="3">
        <v>5.0</v>
      </c>
      <c r="D90" s="3" t="s">
        <v>7</v>
      </c>
      <c r="E90" s="3">
        <v>91.42</v>
      </c>
      <c r="F90" s="3">
        <v>110.73</v>
      </c>
      <c r="G90" s="3">
        <v>82.6</v>
      </c>
      <c r="H90" s="5" t="str">
        <f t="shared" si="1"/>
        <v>May 2017</v>
      </c>
      <c r="I90" s="6">
        <f t="shared" si="2"/>
        <v>42856</v>
      </c>
    </row>
    <row r="91">
      <c r="A91" s="2">
        <v>42887.0</v>
      </c>
      <c r="B91" s="3">
        <v>2017.0</v>
      </c>
      <c r="C91" s="3">
        <v>6.0</v>
      </c>
      <c r="D91" s="3" t="s">
        <v>7</v>
      </c>
      <c r="E91" s="3">
        <v>96.48</v>
      </c>
      <c r="F91" s="3">
        <v>117.91</v>
      </c>
      <c r="G91" s="3">
        <v>81.8</v>
      </c>
      <c r="H91" s="5" t="str">
        <f t="shared" si="1"/>
        <v>June 2017</v>
      </c>
      <c r="I91" s="6">
        <f t="shared" si="2"/>
        <v>42887</v>
      </c>
    </row>
    <row r="92">
      <c r="A92" s="2">
        <v>42917.0</v>
      </c>
      <c r="B92" s="3">
        <v>2017.0</v>
      </c>
      <c r="C92" s="3">
        <v>7.0</v>
      </c>
      <c r="D92" s="3" t="s">
        <v>7</v>
      </c>
      <c r="E92" s="3">
        <v>98.95</v>
      </c>
      <c r="F92" s="3">
        <v>120.27</v>
      </c>
      <c r="G92" s="3">
        <v>82.3</v>
      </c>
      <c r="H92" s="5" t="str">
        <f t="shared" si="1"/>
        <v>July 2017</v>
      </c>
      <c r="I92" s="6">
        <f t="shared" si="2"/>
        <v>42917</v>
      </c>
    </row>
    <row r="93">
      <c r="A93" s="2">
        <v>42948.0</v>
      </c>
      <c r="B93" s="3">
        <v>2017.0</v>
      </c>
      <c r="C93" s="3">
        <v>8.0</v>
      </c>
      <c r="D93" s="3" t="s">
        <v>7</v>
      </c>
      <c r="E93" s="3">
        <v>107.36</v>
      </c>
      <c r="F93" s="3">
        <v>131.66</v>
      </c>
      <c r="G93" s="3">
        <v>81.5</v>
      </c>
      <c r="H93" s="5" t="str">
        <f t="shared" si="1"/>
        <v>August 2017</v>
      </c>
      <c r="I93" s="6">
        <f t="shared" si="2"/>
        <v>42948</v>
      </c>
    </row>
    <row r="94">
      <c r="A94" s="2">
        <v>42979.0</v>
      </c>
      <c r="B94" s="3">
        <v>2017.0</v>
      </c>
      <c r="C94" s="3">
        <v>9.0</v>
      </c>
      <c r="D94" s="3" t="s">
        <v>7</v>
      </c>
      <c r="E94" s="3">
        <v>99.39</v>
      </c>
      <c r="F94" s="3">
        <v>118.36</v>
      </c>
      <c r="G94" s="3">
        <v>84.0</v>
      </c>
      <c r="H94" s="5" t="str">
        <f t="shared" si="1"/>
        <v>September 2017</v>
      </c>
      <c r="I94" s="6">
        <f t="shared" si="2"/>
        <v>42979</v>
      </c>
    </row>
    <row r="95">
      <c r="A95" s="4">
        <v>43009.0</v>
      </c>
      <c r="B95" s="3">
        <v>2017.0</v>
      </c>
      <c r="C95" s="3">
        <v>10.0</v>
      </c>
      <c r="D95" s="3" t="s">
        <v>7</v>
      </c>
      <c r="E95" s="3">
        <v>100.6</v>
      </c>
      <c r="F95" s="3">
        <v>124.89</v>
      </c>
      <c r="G95" s="3">
        <v>80.5</v>
      </c>
      <c r="H95" s="5" t="str">
        <f t="shared" si="1"/>
        <v>October 2017</v>
      </c>
      <c r="I95" s="6">
        <f t="shared" si="2"/>
        <v>43009</v>
      </c>
    </row>
    <row r="96">
      <c r="A96" s="4">
        <v>43040.0</v>
      </c>
      <c r="B96" s="3">
        <v>2017.0</v>
      </c>
      <c r="C96" s="3">
        <v>11.0</v>
      </c>
      <c r="D96" s="3" t="s">
        <v>7</v>
      </c>
      <c r="E96" s="3">
        <v>92.01</v>
      </c>
      <c r="F96" s="3">
        <v>116.48</v>
      </c>
      <c r="G96" s="3">
        <v>79.0</v>
      </c>
      <c r="H96" s="5" t="str">
        <f t="shared" si="1"/>
        <v>November 2017</v>
      </c>
      <c r="I96" s="6">
        <f t="shared" si="2"/>
        <v>43040</v>
      </c>
    </row>
    <row r="97">
      <c r="A97" s="4">
        <v>43070.0</v>
      </c>
      <c r="B97" s="3">
        <v>2017.0</v>
      </c>
      <c r="C97" s="3">
        <v>12.0</v>
      </c>
      <c r="D97" s="3" t="s">
        <v>7</v>
      </c>
      <c r="E97" s="3">
        <v>83.44</v>
      </c>
      <c r="F97" s="3">
        <v>103.11</v>
      </c>
      <c r="G97" s="3">
        <v>80.9</v>
      </c>
      <c r="H97" s="5" t="str">
        <f t="shared" si="1"/>
        <v>December 2017</v>
      </c>
      <c r="I97" s="6">
        <f t="shared" si="2"/>
        <v>43070</v>
      </c>
    </row>
    <row r="98">
      <c r="A98" s="2">
        <v>43101.0</v>
      </c>
      <c r="B98" s="3">
        <v>2018.0</v>
      </c>
      <c r="C98" s="3">
        <v>1.0</v>
      </c>
      <c r="D98" s="3" t="s">
        <v>7</v>
      </c>
      <c r="E98" s="3">
        <v>84.18</v>
      </c>
      <c r="F98" s="3">
        <v>104.29</v>
      </c>
      <c r="G98" s="3">
        <v>80.7</v>
      </c>
      <c r="H98" s="5" t="str">
        <f t="shared" si="1"/>
        <v>January 2018</v>
      </c>
      <c r="I98" s="6">
        <f t="shared" si="2"/>
        <v>43101</v>
      </c>
    </row>
    <row r="99">
      <c r="A99" s="2">
        <v>43132.0</v>
      </c>
      <c r="B99" s="3">
        <v>2018.0</v>
      </c>
      <c r="C99" s="3">
        <v>2.0</v>
      </c>
      <c r="D99" s="3" t="s">
        <v>7</v>
      </c>
      <c r="E99" s="3">
        <v>81.0</v>
      </c>
      <c r="F99" s="3">
        <v>100.09</v>
      </c>
      <c r="G99" s="3">
        <v>80.9</v>
      </c>
      <c r="H99" s="5" t="str">
        <f t="shared" si="1"/>
        <v>February 2018</v>
      </c>
      <c r="I99" s="6">
        <f t="shared" si="2"/>
        <v>43132</v>
      </c>
    </row>
    <row r="100">
      <c r="A100" s="2">
        <v>43160.0</v>
      </c>
      <c r="B100" s="3">
        <v>2018.0</v>
      </c>
      <c r="C100" s="3">
        <v>3.0</v>
      </c>
      <c r="D100" s="3" t="s">
        <v>7</v>
      </c>
      <c r="E100" s="3">
        <v>82.14</v>
      </c>
      <c r="F100" s="3">
        <v>100.52</v>
      </c>
      <c r="G100" s="3">
        <v>81.7</v>
      </c>
      <c r="H100" s="5" t="str">
        <f t="shared" si="1"/>
        <v>March 2018</v>
      </c>
      <c r="I100" s="6">
        <f t="shared" si="2"/>
        <v>43160</v>
      </c>
    </row>
    <row r="101">
      <c r="A101" s="2">
        <v>43191.0</v>
      </c>
      <c r="B101" s="3">
        <v>2018.0</v>
      </c>
      <c r="C101" s="3">
        <v>4.0</v>
      </c>
      <c r="D101" s="3" t="s">
        <v>7</v>
      </c>
      <c r="E101" s="3">
        <v>89.2</v>
      </c>
      <c r="F101" s="3">
        <v>110.22</v>
      </c>
      <c r="G101" s="3">
        <v>80.9</v>
      </c>
      <c r="H101" s="5" t="str">
        <f t="shared" si="1"/>
        <v>April 2018</v>
      </c>
      <c r="I101" s="6">
        <f t="shared" si="2"/>
        <v>43191</v>
      </c>
    </row>
    <row r="102">
      <c r="A102" s="2">
        <v>43221.0</v>
      </c>
      <c r="B102" s="3">
        <v>2018.0</v>
      </c>
      <c r="C102" s="3">
        <v>5.0</v>
      </c>
      <c r="D102" s="3" t="s">
        <v>7</v>
      </c>
      <c r="E102" s="3">
        <v>89.83</v>
      </c>
      <c r="F102" s="3">
        <v>113.37</v>
      </c>
      <c r="G102" s="3">
        <v>79.2</v>
      </c>
      <c r="H102" s="5" t="str">
        <f t="shared" si="1"/>
        <v>May 2018</v>
      </c>
      <c r="I102" s="6">
        <f t="shared" si="2"/>
        <v>43221</v>
      </c>
    </row>
    <row r="103">
      <c r="A103" s="2">
        <v>43252.0</v>
      </c>
      <c r="B103" s="3">
        <v>2018.0</v>
      </c>
      <c r="C103" s="3">
        <v>6.0</v>
      </c>
      <c r="D103" s="3" t="s">
        <v>7</v>
      </c>
      <c r="E103" s="3">
        <v>99.87</v>
      </c>
      <c r="F103" s="3">
        <v>125.62</v>
      </c>
      <c r="G103" s="3">
        <v>79.5</v>
      </c>
      <c r="H103" s="5" t="str">
        <f t="shared" si="1"/>
        <v>June 2018</v>
      </c>
      <c r="I103" s="6">
        <f t="shared" si="2"/>
        <v>43252</v>
      </c>
    </row>
    <row r="104">
      <c r="A104" s="2">
        <v>43282.0</v>
      </c>
      <c r="B104" s="3">
        <v>2018.0</v>
      </c>
      <c r="C104" s="3">
        <v>7.0</v>
      </c>
      <c r="D104" s="3" t="s">
        <v>7</v>
      </c>
      <c r="E104" s="3">
        <v>108.24</v>
      </c>
      <c r="F104" s="3">
        <v>133.52</v>
      </c>
      <c r="G104" s="3">
        <v>81.1</v>
      </c>
      <c r="H104" s="5" t="str">
        <f t="shared" si="1"/>
        <v>July 2018</v>
      </c>
      <c r="I104" s="6">
        <f t="shared" si="2"/>
        <v>43282</v>
      </c>
    </row>
    <row r="105">
      <c r="A105" s="2">
        <v>43313.0</v>
      </c>
      <c r="B105" s="3">
        <v>2018.0</v>
      </c>
      <c r="C105" s="3">
        <v>8.0</v>
      </c>
      <c r="D105" s="3" t="s">
        <v>7</v>
      </c>
      <c r="E105" s="3">
        <v>117.14</v>
      </c>
      <c r="F105" s="3">
        <v>149.17</v>
      </c>
      <c r="G105" s="3">
        <v>78.5</v>
      </c>
      <c r="H105" s="5" t="str">
        <f t="shared" si="1"/>
        <v>August 2018</v>
      </c>
      <c r="I105" s="6">
        <f t="shared" si="2"/>
        <v>43313</v>
      </c>
    </row>
    <row r="106">
      <c r="A106" s="2">
        <v>43344.0</v>
      </c>
      <c r="B106" s="3">
        <v>2018.0</v>
      </c>
      <c r="C106" s="3">
        <v>9.0</v>
      </c>
      <c r="D106" s="3" t="s">
        <v>7</v>
      </c>
      <c r="E106" s="3">
        <v>108.09</v>
      </c>
      <c r="F106" s="3">
        <v>135.55</v>
      </c>
      <c r="G106" s="3">
        <v>79.7</v>
      </c>
      <c r="H106" s="5" t="str">
        <f t="shared" si="1"/>
        <v>September 2018</v>
      </c>
      <c r="I106" s="6">
        <f t="shared" si="2"/>
        <v>43344</v>
      </c>
    </row>
    <row r="107">
      <c r="A107" s="4">
        <v>43374.0</v>
      </c>
      <c r="B107" s="3">
        <v>2018.0</v>
      </c>
      <c r="C107" s="3">
        <v>10.0</v>
      </c>
      <c r="D107" s="3" t="s">
        <v>7</v>
      </c>
      <c r="E107" s="3">
        <v>100.96</v>
      </c>
      <c r="F107" s="3">
        <v>122.69</v>
      </c>
      <c r="G107" s="3">
        <v>82.3</v>
      </c>
      <c r="H107" s="5" t="str">
        <f t="shared" si="1"/>
        <v>October 2018</v>
      </c>
      <c r="I107" s="6">
        <f t="shared" si="2"/>
        <v>43374</v>
      </c>
    </row>
    <row r="108">
      <c r="A108" s="4">
        <v>43405.0</v>
      </c>
      <c r="B108" s="3">
        <v>2018.0</v>
      </c>
      <c r="C108" s="3">
        <v>11.0</v>
      </c>
      <c r="D108" s="3" t="s">
        <v>7</v>
      </c>
      <c r="E108" s="3">
        <v>89.1</v>
      </c>
      <c r="F108" s="3">
        <v>108.04</v>
      </c>
      <c r="G108" s="3">
        <v>82.5</v>
      </c>
      <c r="H108" s="5" t="str">
        <f t="shared" si="1"/>
        <v>November 2018</v>
      </c>
      <c r="I108" s="6">
        <f t="shared" si="2"/>
        <v>43405</v>
      </c>
    </row>
    <row r="109">
      <c r="A109" s="4">
        <v>43435.0</v>
      </c>
      <c r="B109" s="3">
        <v>2018.0</v>
      </c>
      <c r="C109" s="3">
        <v>12.0</v>
      </c>
      <c r="D109" s="3" t="s">
        <v>7</v>
      </c>
      <c r="E109" s="3">
        <v>93.79</v>
      </c>
      <c r="F109" s="3">
        <v>115.66</v>
      </c>
      <c r="G109" s="3">
        <v>81.1</v>
      </c>
      <c r="H109" s="5" t="str">
        <f t="shared" si="1"/>
        <v>December 2018</v>
      </c>
      <c r="I109" s="6">
        <f t="shared" si="2"/>
        <v>43435</v>
      </c>
    </row>
    <row r="110">
      <c r="A110" s="2">
        <v>43466.0</v>
      </c>
      <c r="B110" s="3">
        <v>2019.0</v>
      </c>
      <c r="C110" s="3">
        <v>1.0</v>
      </c>
      <c r="D110" s="3" t="s">
        <v>7</v>
      </c>
      <c r="E110" s="3">
        <v>84.18</v>
      </c>
      <c r="F110" s="3">
        <v>100.16</v>
      </c>
      <c r="G110" s="3">
        <v>84.0</v>
      </c>
      <c r="H110" s="5" t="str">
        <f t="shared" si="1"/>
        <v>January 2019</v>
      </c>
      <c r="I110" s="6">
        <f t="shared" si="2"/>
        <v>43466</v>
      </c>
    </row>
    <row r="111">
      <c r="A111" s="2">
        <v>43497.0</v>
      </c>
      <c r="B111" s="3">
        <v>2019.0</v>
      </c>
      <c r="C111" s="3">
        <v>2.0</v>
      </c>
      <c r="D111" s="3" t="s">
        <v>7</v>
      </c>
      <c r="E111" s="3">
        <v>77.32</v>
      </c>
      <c r="F111" s="3">
        <v>95.65</v>
      </c>
      <c r="G111" s="3">
        <v>80.8</v>
      </c>
      <c r="H111" s="5" t="str">
        <f t="shared" si="1"/>
        <v>February 2019</v>
      </c>
      <c r="I111" s="6">
        <f t="shared" si="2"/>
        <v>43497</v>
      </c>
    </row>
    <row r="112">
      <c r="A112" s="2">
        <v>43525.0</v>
      </c>
      <c r="B112" s="3">
        <v>2019.0</v>
      </c>
      <c r="C112" s="3">
        <v>3.0</v>
      </c>
      <c r="D112" s="3" t="s">
        <v>7</v>
      </c>
      <c r="E112" s="3">
        <v>70.57</v>
      </c>
      <c r="F112" s="3">
        <v>84.73</v>
      </c>
      <c r="G112" s="3">
        <v>83.3</v>
      </c>
      <c r="H112" s="5" t="str">
        <f t="shared" si="1"/>
        <v>March 2019</v>
      </c>
      <c r="I112" s="6">
        <f t="shared" si="2"/>
        <v>43525</v>
      </c>
    </row>
    <row r="113">
      <c r="A113" s="2">
        <v>43556.0</v>
      </c>
      <c r="B113" s="3">
        <v>2019.0</v>
      </c>
      <c r="C113" s="3">
        <v>4.0</v>
      </c>
      <c r="D113" s="3" t="s">
        <v>7</v>
      </c>
      <c r="E113" s="3">
        <v>75.82</v>
      </c>
      <c r="F113" s="3">
        <v>94.81</v>
      </c>
      <c r="G113" s="3">
        <v>80.0</v>
      </c>
      <c r="H113" s="5" t="str">
        <f t="shared" si="1"/>
        <v>April 2019</v>
      </c>
      <c r="I113" s="6">
        <f t="shared" si="2"/>
        <v>43556</v>
      </c>
    </row>
    <row r="114">
      <c r="A114" s="2">
        <v>43586.0</v>
      </c>
      <c r="B114" s="3">
        <v>2019.0</v>
      </c>
      <c r="C114" s="3">
        <v>5.0</v>
      </c>
      <c r="D114" s="3" t="s">
        <v>7</v>
      </c>
      <c r="E114" s="3">
        <v>77.96</v>
      </c>
      <c r="F114" s="3">
        <v>96.45</v>
      </c>
      <c r="G114" s="3">
        <v>80.8</v>
      </c>
      <c r="H114" s="5" t="str">
        <f t="shared" si="1"/>
        <v>May 2019</v>
      </c>
      <c r="I114" s="6">
        <f t="shared" si="2"/>
        <v>43586</v>
      </c>
    </row>
    <row r="115">
      <c r="A115" s="2">
        <v>43617.0</v>
      </c>
      <c r="B115" s="3">
        <v>2019.0</v>
      </c>
      <c r="C115" s="3">
        <v>6.0</v>
      </c>
      <c r="D115" s="3" t="s">
        <v>7</v>
      </c>
      <c r="E115" s="3">
        <v>77.33</v>
      </c>
      <c r="F115" s="3">
        <v>92.93</v>
      </c>
      <c r="G115" s="3">
        <v>83.2</v>
      </c>
      <c r="H115" s="5" t="str">
        <f t="shared" si="1"/>
        <v>June 2019</v>
      </c>
      <c r="I115" s="6">
        <f t="shared" si="2"/>
        <v>43617</v>
      </c>
    </row>
    <row r="116">
      <c r="A116" s="2">
        <v>43647.0</v>
      </c>
      <c r="B116" s="3">
        <v>2019.0</v>
      </c>
      <c r="C116" s="3">
        <v>7.0</v>
      </c>
      <c r="D116" s="3" t="s">
        <v>7</v>
      </c>
      <c r="E116" s="3">
        <v>74.35</v>
      </c>
      <c r="F116" s="3">
        <v>88.42</v>
      </c>
      <c r="G116" s="3">
        <v>84.1</v>
      </c>
      <c r="H116" s="5" t="str">
        <f t="shared" si="1"/>
        <v>July 2019</v>
      </c>
      <c r="I116" s="6">
        <f t="shared" si="2"/>
        <v>43647</v>
      </c>
    </row>
    <row r="117">
      <c r="A117" s="2">
        <v>43678.0</v>
      </c>
      <c r="B117" s="3">
        <v>2019.0</v>
      </c>
      <c r="C117" s="3">
        <v>8.0</v>
      </c>
      <c r="D117" s="3" t="s">
        <v>7</v>
      </c>
      <c r="E117" s="3">
        <v>70.49</v>
      </c>
      <c r="F117" s="3">
        <v>87.37</v>
      </c>
      <c r="G117" s="3">
        <v>80.7</v>
      </c>
      <c r="H117" s="5" t="str">
        <f t="shared" si="1"/>
        <v>August 2019</v>
      </c>
      <c r="I117" s="6">
        <f t="shared" si="2"/>
        <v>43678</v>
      </c>
    </row>
    <row r="118">
      <c r="A118" s="2">
        <v>43709.0</v>
      </c>
      <c r="B118" s="3">
        <v>2019.0</v>
      </c>
      <c r="C118" s="3">
        <v>9.0</v>
      </c>
      <c r="D118" s="3" t="s">
        <v>7</v>
      </c>
      <c r="E118" s="3">
        <v>71.02</v>
      </c>
      <c r="F118" s="3">
        <v>84.29</v>
      </c>
      <c r="G118" s="3">
        <v>84.3</v>
      </c>
      <c r="H118" s="5" t="str">
        <f t="shared" si="1"/>
        <v>September 2019</v>
      </c>
      <c r="I118" s="6">
        <f t="shared" si="2"/>
        <v>43709</v>
      </c>
    </row>
    <row r="119">
      <c r="A119" s="4">
        <v>43739.0</v>
      </c>
      <c r="B119" s="3">
        <v>2019.0</v>
      </c>
      <c r="C119" s="3">
        <v>10.0</v>
      </c>
      <c r="D119" s="3" t="s">
        <v>7</v>
      </c>
      <c r="E119" s="3">
        <v>59.03</v>
      </c>
      <c r="F119" s="3">
        <v>73.68</v>
      </c>
      <c r="G119" s="3">
        <v>80.1</v>
      </c>
      <c r="H119" s="5" t="str">
        <f t="shared" si="1"/>
        <v>October 2019</v>
      </c>
      <c r="I119" s="6">
        <f t="shared" si="2"/>
        <v>43739</v>
      </c>
    </row>
    <row r="120">
      <c r="A120" s="4">
        <v>43770.0</v>
      </c>
      <c r="B120" s="3">
        <v>2019.0</v>
      </c>
      <c r="C120" s="3">
        <v>11.0</v>
      </c>
      <c r="D120" s="3" t="s">
        <v>7</v>
      </c>
      <c r="E120" s="3">
        <v>49.38</v>
      </c>
      <c r="F120" s="3">
        <v>60.11</v>
      </c>
      <c r="G120" s="3">
        <v>82.1</v>
      </c>
      <c r="H120" s="5" t="str">
        <f t="shared" si="1"/>
        <v>November 2019</v>
      </c>
      <c r="I120" s="6">
        <f t="shared" si="2"/>
        <v>43770</v>
      </c>
    </row>
    <row r="121">
      <c r="A121" s="4">
        <v>43800.0</v>
      </c>
      <c r="B121" s="3">
        <v>2019.0</v>
      </c>
      <c r="C121" s="3">
        <v>12.0</v>
      </c>
      <c r="D121" s="3" t="s">
        <v>7</v>
      </c>
      <c r="E121" s="3">
        <v>42.21</v>
      </c>
      <c r="F121" s="3">
        <v>51.59</v>
      </c>
      <c r="G121" s="3">
        <v>81.8</v>
      </c>
      <c r="H121" s="5" t="str">
        <f t="shared" si="1"/>
        <v>December 2019</v>
      </c>
      <c r="I121" s="6">
        <f t="shared" si="2"/>
        <v>43800</v>
      </c>
    </row>
    <row r="122">
      <c r="A122" s="2">
        <v>43831.0</v>
      </c>
      <c r="B122" s="3">
        <v>2020.0</v>
      </c>
      <c r="C122" s="3">
        <v>1.0</v>
      </c>
      <c r="D122" s="3" t="s">
        <v>7</v>
      </c>
      <c r="E122" s="3">
        <v>35.64</v>
      </c>
      <c r="F122" s="3">
        <v>43.69</v>
      </c>
      <c r="G122" s="3">
        <v>81.6</v>
      </c>
      <c r="H122" s="5" t="str">
        <f t="shared" si="1"/>
        <v>January 2020</v>
      </c>
      <c r="I122" s="6">
        <f t="shared" si="2"/>
        <v>43831</v>
      </c>
    </row>
    <row r="123">
      <c r="A123" s="2">
        <v>43862.0</v>
      </c>
      <c r="B123" s="3">
        <v>2020.0</v>
      </c>
      <c r="C123" s="3">
        <v>2.0</v>
      </c>
      <c r="D123" s="3" t="s">
        <v>7</v>
      </c>
      <c r="E123" s="3">
        <v>34.7</v>
      </c>
      <c r="F123" s="3">
        <v>42.85</v>
      </c>
      <c r="G123" s="3">
        <v>81.0</v>
      </c>
      <c r="H123" s="5" t="str">
        <f t="shared" si="1"/>
        <v>February 2020</v>
      </c>
      <c r="I123" s="6">
        <f t="shared" si="2"/>
        <v>43862</v>
      </c>
    </row>
    <row r="124">
      <c r="A124" s="2">
        <v>43891.0</v>
      </c>
      <c r="B124" s="3">
        <v>2020.0</v>
      </c>
      <c r="C124" s="3">
        <v>3.0</v>
      </c>
      <c r="D124" s="3" t="s">
        <v>7</v>
      </c>
      <c r="E124" s="3">
        <v>5.94</v>
      </c>
      <c r="F124" s="3">
        <v>10.79</v>
      </c>
      <c r="G124" s="3">
        <v>55.0</v>
      </c>
      <c r="H124" s="5" t="str">
        <f t="shared" si="1"/>
        <v>March 2020</v>
      </c>
      <c r="I124" s="6">
        <f t="shared" si="2"/>
        <v>43891</v>
      </c>
    </row>
    <row r="125">
      <c r="A125" s="2">
        <v>43922.0</v>
      </c>
      <c r="B125" s="3">
        <v>2020.0</v>
      </c>
      <c r="C125" s="3">
        <v>4.0</v>
      </c>
      <c r="D125" s="3" t="s">
        <v>7</v>
      </c>
      <c r="E125" s="3">
        <v>6.33</v>
      </c>
      <c r="F125" s="3">
        <v>11.51</v>
      </c>
      <c r="G125" s="3">
        <v>55.0</v>
      </c>
      <c r="H125" s="5" t="str">
        <f t="shared" si="1"/>
        <v>April 2020</v>
      </c>
      <c r="I125" s="6">
        <f t="shared" si="2"/>
        <v>43922</v>
      </c>
    </row>
    <row r="126">
      <c r="A126" s="2">
        <v>43952.0</v>
      </c>
      <c r="B126" s="3">
        <v>2020.0</v>
      </c>
      <c r="C126" s="3">
        <v>5.0</v>
      </c>
      <c r="D126" s="3" t="s">
        <v>7</v>
      </c>
      <c r="E126" s="3">
        <v>7.15</v>
      </c>
      <c r="F126" s="3">
        <v>13.0</v>
      </c>
      <c r="G126" s="3">
        <v>55.0</v>
      </c>
      <c r="H126" s="5" t="str">
        <f t="shared" si="1"/>
        <v>May 2020</v>
      </c>
      <c r="I126" s="6">
        <f t="shared" si="2"/>
        <v>43952</v>
      </c>
    </row>
    <row r="127">
      <c r="A127" s="2">
        <v>43983.0</v>
      </c>
      <c r="B127" s="3">
        <v>2020.0</v>
      </c>
      <c r="C127" s="3">
        <v>6.0</v>
      </c>
      <c r="D127" s="3" t="s">
        <v>7</v>
      </c>
      <c r="E127" s="3">
        <v>8.28</v>
      </c>
      <c r="F127" s="3">
        <v>15.06</v>
      </c>
      <c r="G127" s="3">
        <v>55.0</v>
      </c>
      <c r="H127" s="5" t="str">
        <f t="shared" si="1"/>
        <v>June 2020</v>
      </c>
      <c r="I127" s="6">
        <f t="shared" si="2"/>
        <v>43983</v>
      </c>
    </row>
    <row r="128">
      <c r="A128" s="2">
        <v>44013.0</v>
      </c>
      <c r="B128" s="3">
        <v>2020.0</v>
      </c>
      <c r="C128" s="3">
        <v>7.0</v>
      </c>
      <c r="D128" s="3" t="s">
        <v>7</v>
      </c>
      <c r="E128" s="3">
        <v>55.13</v>
      </c>
      <c r="F128" s="3">
        <v>100.24</v>
      </c>
      <c r="G128" s="3">
        <v>55.0</v>
      </c>
      <c r="H128" s="5" t="str">
        <f t="shared" si="1"/>
        <v>July 2020</v>
      </c>
      <c r="I128" s="6">
        <f t="shared" si="2"/>
        <v>44013</v>
      </c>
    </row>
    <row r="129">
      <c r="A129" s="2">
        <v>44044.0</v>
      </c>
      <c r="B129" s="3">
        <v>2020.0</v>
      </c>
      <c r="C129" s="3">
        <v>8.0</v>
      </c>
      <c r="D129" s="3" t="s">
        <v>7</v>
      </c>
      <c r="E129" s="3">
        <v>20.6</v>
      </c>
      <c r="F129" s="3">
        <v>37.45</v>
      </c>
      <c r="G129" s="3">
        <v>55.0</v>
      </c>
      <c r="H129" s="5" t="str">
        <f t="shared" si="1"/>
        <v>August 2020</v>
      </c>
      <c r="I129" s="6">
        <f t="shared" si="2"/>
        <v>44044</v>
      </c>
    </row>
    <row r="130">
      <c r="A130" s="2">
        <v>44075.0</v>
      </c>
      <c r="B130" s="3">
        <v>2020.0</v>
      </c>
      <c r="C130" s="3">
        <v>9.0</v>
      </c>
      <c r="D130" s="3" t="s">
        <v>7</v>
      </c>
      <c r="E130" s="3">
        <v>21.56</v>
      </c>
      <c r="F130" s="3">
        <v>39.19</v>
      </c>
      <c r="G130" s="3">
        <v>55.0</v>
      </c>
      <c r="H130" s="5" t="str">
        <f t="shared" si="1"/>
        <v>September 2020</v>
      </c>
      <c r="I130" s="6">
        <f t="shared" si="2"/>
        <v>44075</v>
      </c>
    </row>
    <row r="131">
      <c r="A131" s="4">
        <v>44105.0</v>
      </c>
      <c r="B131" s="3">
        <v>2020.0</v>
      </c>
      <c r="C131" s="3">
        <v>10.0</v>
      </c>
      <c r="D131" s="3" t="s">
        <v>7</v>
      </c>
      <c r="E131" s="3">
        <v>21.5</v>
      </c>
      <c r="F131" s="3">
        <v>39.09</v>
      </c>
      <c r="G131" s="3">
        <v>55.0</v>
      </c>
      <c r="H131" s="5" t="str">
        <f t="shared" si="1"/>
        <v>October 2020</v>
      </c>
      <c r="I131" s="6">
        <f t="shared" si="2"/>
        <v>44105</v>
      </c>
    </row>
    <row r="132">
      <c r="A132" s="4">
        <v>44136.0</v>
      </c>
      <c r="B132" s="3">
        <v>2020.0</v>
      </c>
      <c r="C132" s="3">
        <v>11.0</v>
      </c>
      <c r="D132" s="3" t="s">
        <v>7</v>
      </c>
      <c r="E132" s="3">
        <v>19.67</v>
      </c>
      <c r="F132" s="3">
        <v>35.76</v>
      </c>
      <c r="G132" s="3">
        <v>55.0</v>
      </c>
      <c r="H132" s="5" t="str">
        <f t="shared" si="1"/>
        <v>November 2020</v>
      </c>
      <c r="I132" s="6">
        <f t="shared" si="2"/>
        <v>44136</v>
      </c>
    </row>
    <row r="133">
      <c r="A133" s="4">
        <v>44166.0</v>
      </c>
      <c r="B133" s="3">
        <v>2020.0</v>
      </c>
      <c r="C133" s="3">
        <v>12.0</v>
      </c>
      <c r="D133" s="3" t="s">
        <v>7</v>
      </c>
      <c r="E133" s="3">
        <v>18.74</v>
      </c>
      <c r="F133" s="3">
        <v>34.07</v>
      </c>
      <c r="G133" s="3">
        <v>55.0</v>
      </c>
      <c r="H133" s="5" t="str">
        <f t="shared" si="1"/>
        <v>December 2020</v>
      </c>
      <c r="I133" s="6">
        <f t="shared" si="2"/>
        <v>44166</v>
      </c>
    </row>
    <row r="134">
      <c r="A134" s="2">
        <v>44197.0</v>
      </c>
      <c r="B134" s="3">
        <v>2021.0</v>
      </c>
      <c r="C134" s="3">
        <v>1.0</v>
      </c>
      <c r="D134" s="3" t="s">
        <v>7</v>
      </c>
      <c r="E134" s="3">
        <v>53.64</v>
      </c>
      <c r="F134" s="3">
        <v>62.8</v>
      </c>
      <c r="G134" s="3">
        <v>85.4</v>
      </c>
      <c r="H134" s="5" t="str">
        <f t="shared" si="1"/>
        <v>January 2021</v>
      </c>
      <c r="I134" s="6">
        <f t="shared" si="2"/>
        <v>44197</v>
      </c>
    </row>
    <row r="135">
      <c r="A135" s="2">
        <v>44228.0</v>
      </c>
      <c r="B135" s="3">
        <v>2021.0</v>
      </c>
      <c r="C135" s="3">
        <v>2.0</v>
      </c>
      <c r="D135" s="3" t="s">
        <v>7</v>
      </c>
      <c r="E135" s="3">
        <v>25.44</v>
      </c>
      <c r="F135" s="3">
        <v>31.82</v>
      </c>
      <c r="G135" s="3">
        <v>79.9</v>
      </c>
      <c r="H135" s="5" t="str">
        <f t="shared" si="1"/>
        <v>February 2021</v>
      </c>
      <c r="I135" s="6">
        <f t="shared" si="2"/>
        <v>44228</v>
      </c>
    </row>
    <row r="136">
      <c r="A136" s="2">
        <v>44256.0</v>
      </c>
      <c r="B136" s="3">
        <v>2021.0</v>
      </c>
      <c r="C136" s="3">
        <v>3.0</v>
      </c>
      <c r="D136" s="3" t="s">
        <v>7</v>
      </c>
      <c r="E136" s="3">
        <v>25.01</v>
      </c>
      <c r="F136" s="3">
        <v>31.41</v>
      </c>
      <c r="G136" s="3">
        <v>79.6</v>
      </c>
      <c r="H136" s="5" t="str">
        <f t="shared" si="1"/>
        <v>March 2021</v>
      </c>
      <c r="I136" s="6">
        <f t="shared" si="2"/>
        <v>44256</v>
      </c>
    </row>
    <row r="137">
      <c r="A137" s="2">
        <v>44287.0</v>
      </c>
      <c r="B137" s="3">
        <v>2021.0</v>
      </c>
      <c r="C137" s="3">
        <v>4.0</v>
      </c>
      <c r="D137" s="3" t="s">
        <v>7</v>
      </c>
      <c r="E137" s="3">
        <v>26.58</v>
      </c>
      <c r="F137" s="3">
        <v>32.93</v>
      </c>
      <c r="G137" s="3">
        <v>80.7</v>
      </c>
      <c r="H137" s="5" t="str">
        <f t="shared" si="1"/>
        <v>April 2021</v>
      </c>
      <c r="I137" s="6">
        <f t="shared" si="2"/>
        <v>44287</v>
      </c>
    </row>
    <row r="138">
      <c r="A138" s="2">
        <v>44317.0</v>
      </c>
      <c r="B138" s="3">
        <v>2021.0</v>
      </c>
      <c r="C138" s="3">
        <v>5.0</v>
      </c>
      <c r="D138" s="3" t="s">
        <v>7</v>
      </c>
      <c r="E138" s="3">
        <v>29.21</v>
      </c>
      <c r="F138" s="3">
        <v>36.56</v>
      </c>
      <c r="G138" s="3">
        <v>79.9</v>
      </c>
      <c r="H138" s="5" t="str">
        <f t="shared" si="1"/>
        <v>May 2021</v>
      </c>
      <c r="I138" s="6">
        <f t="shared" si="2"/>
        <v>44317</v>
      </c>
    </row>
    <row r="139">
      <c r="A139" s="2">
        <v>44348.0</v>
      </c>
      <c r="B139" s="3">
        <v>2021.0</v>
      </c>
      <c r="C139" s="3">
        <v>6.0</v>
      </c>
      <c r="D139" s="3" t="s">
        <v>7</v>
      </c>
      <c r="E139" s="3">
        <v>33.05</v>
      </c>
      <c r="F139" s="3">
        <v>41.54</v>
      </c>
      <c r="G139" s="3">
        <v>79.6</v>
      </c>
      <c r="H139" s="5" t="str">
        <f t="shared" si="1"/>
        <v>June 2021</v>
      </c>
      <c r="I139" s="6">
        <f t="shared" si="2"/>
        <v>44348</v>
      </c>
    </row>
    <row r="140">
      <c r="A140" s="2">
        <v>44378.0</v>
      </c>
      <c r="B140" s="3">
        <v>2021.0</v>
      </c>
      <c r="C140" s="3">
        <v>7.0</v>
      </c>
      <c r="D140" s="3" t="s">
        <v>7</v>
      </c>
      <c r="E140" s="3">
        <v>81.41</v>
      </c>
      <c r="F140" s="3">
        <v>101.55</v>
      </c>
      <c r="G140" s="3">
        <v>80.2</v>
      </c>
      <c r="H140" s="5" t="str">
        <f t="shared" si="1"/>
        <v>July 2021</v>
      </c>
      <c r="I140" s="6">
        <f t="shared" si="2"/>
        <v>44378</v>
      </c>
    </row>
    <row r="141">
      <c r="A141" s="2">
        <v>44409.0</v>
      </c>
      <c r="B141" s="3">
        <v>2021.0</v>
      </c>
      <c r="C141" s="3">
        <v>8.0</v>
      </c>
      <c r="D141" s="3" t="s">
        <v>7</v>
      </c>
      <c r="E141" s="3">
        <v>58.45</v>
      </c>
      <c r="F141" s="3">
        <v>72.08</v>
      </c>
      <c r="G141" s="3">
        <v>81.1</v>
      </c>
      <c r="H141" s="5" t="str">
        <f t="shared" si="1"/>
        <v>August 2021</v>
      </c>
      <c r="I141" s="6">
        <f t="shared" si="2"/>
        <v>44409</v>
      </c>
    </row>
    <row r="142">
      <c r="A142" s="2">
        <v>44440.0</v>
      </c>
      <c r="B142" s="3">
        <v>2021.0</v>
      </c>
      <c r="C142" s="3">
        <v>9.0</v>
      </c>
      <c r="D142" s="3" t="s">
        <v>7</v>
      </c>
      <c r="E142" s="3">
        <v>54.1</v>
      </c>
      <c r="F142" s="3">
        <v>68.13</v>
      </c>
      <c r="G142" s="3">
        <v>79.4</v>
      </c>
      <c r="H142" s="5" t="str">
        <f t="shared" si="1"/>
        <v>September 2021</v>
      </c>
      <c r="I142" s="6">
        <f t="shared" si="2"/>
        <v>44440</v>
      </c>
    </row>
    <row r="143">
      <c r="A143" s="4">
        <v>44470.0</v>
      </c>
      <c r="B143" s="3">
        <v>2021.0</v>
      </c>
      <c r="C143" s="3">
        <v>10.0</v>
      </c>
      <c r="D143" s="3" t="s">
        <v>7</v>
      </c>
      <c r="E143" s="3">
        <v>55.25</v>
      </c>
      <c r="F143" s="3">
        <v>65.59</v>
      </c>
      <c r="G143" s="3">
        <v>84.2</v>
      </c>
      <c r="H143" s="5" t="str">
        <f t="shared" si="1"/>
        <v>October 2021</v>
      </c>
      <c r="I143" s="6">
        <f t="shared" si="2"/>
        <v>44470</v>
      </c>
    </row>
    <row r="144">
      <c r="A144" s="4">
        <v>44501.0</v>
      </c>
      <c r="B144" s="3">
        <v>2021.0</v>
      </c>
      <c r="C144" s="3">
        <v>11.0</v>
      </c>
      <c r="D144" s="3" t="s">
        <v>7</v>
      </c>
      <c r="E144" s="3">
        <v>50.33</v>
      </c>
      <c r="F144" s="3">
        <v>63.47</v>
      </c>
      <c r="G144" s="3">
        <v>79.3</v>
      </c>
      <c r="H144" s="5" t="str">
        <f t="shared" si="1"/>
        <v>November 2021</v>
      </c>
      <c r="I144" s="6">
        <f t="shared" si="2"/>
        <v>44501</v>
      </c>
    </row>
    <row r="145">
      <c r="A145" s="4">
        <v>44531.0</v>
      </c>
      <c r="B145" s="3">
        <v>2021.0</v>
      </c>
      <c r="C145" s="3">
        <v>12.0</v>
      </c>
      <c r="D145" s="3" t="s">
        <v>7</v>
      </c>
      <c r="E145" s="3">
        <v>47.42</v>
      </c>
      <c r="F145" s="3">
        <v>59.46</v>
      </c>
      <c r="G145" s="3">
        <v>79.8</v>
      </c>
      <c r="H145" s="5" t="str">
        <f t="shared" si="1"/>
        <v>December 2021</v>
      </c>
      <c r="I145" s="6">
        <f t="shared" si="2"/>
        <v>44531</v>
      </c>
    </row>
    <row r="146">
      <c r="A146" s="2">
        <v>44562.0</v>
      </c>
      <c r="B146" s="3">
        <v>2022.0</v>
      </c>
      <c r="C146" s="3">
        <v>1.0</v>
      </c>
      <c r="D146" s="3" t="s">
        <v>7</v>
      </c>
      <c r="E146" s="3">
        <v>72.73</v>
      </c>
      <c r="F146" s="3">
        <v>86.98</v>
      </c>
      <c r="G146" s="3">
        <v>83.6</v>
      </c>
      <c r="H146" s="5" t="str">
        <f t="shared" si="1"/>
        <v>January 2022</v>
      </c>
      <c r="I146" s="6">
        <f t="shared" si="2"/>
        <v>44562</v>
      </c>
    </row>
    <row r="147">
      <c r="A147" s="2">
        <v>44593.0</v>
      </c>
      <c r="B147" s="3">
        <v>2022.0</v>
      </c>
      <c r="C147" s="3">
        <v>2.0</v>
      </c>
      <c r="D147" s="3" t="s">
        <v>7</v>
      </c>
      <c r="E147" s="3">
        <v>68.76</v>
      </c>
      <c r="F147" s="3">
        <v>89.16</v>
      </c>
      <c r="G147" s="3">
        <v>77.1</v>
      </c>
      <c r="H147" s="5" t="str">
        <f t="shared" si="1"/>
        <v>February 2022</v>
      </c>
      <c r="I147" s="6">
        <f t="shared" si="2"/>
        <v>44593</v>
      </c>
    </row>
    <row r="148">
      <c r="A148" s="2">
        <v>44621.0</v>
      </c>
      <c r="B148" s="3">
        <v>2022.0</v>
      </c>
      <c r="C148" s="3">
        <v>3.0</v>
      </c>
      <c r="D148" s="3" t="s">
        <v>7</v>
      </c>
      <c r="E148" s="3">
        <v>68.71</v>
      </c>
      <c r="F148" s="3">
        <v>82.41</v>
      </c>
      <c r="G148" s="3">
        <v>83.4</v>
      </c>
      <c r="H148" s="5" t="str">
        <f t="shared" si="1"/>
        <v>March 2022</v>
      </c>
      <c r="I148" s="6">
        <f t="shared" si="2"/>
        <v>44621</v>
      </c>
    </row>
    <row r="149">
      <c r="A149" s="2">
        <v>44652.0</v>
      </c>
      <c r="B149" s="3">
        <v>2022.0</v>
      </c>
      <c r="C149" s="3">
        <v>4.0</v>
      </c>
      <c r="D149" s="3" t="s">
        <v>7</v>
      </c>
      <c r="E149" s="3">
        <v>78.66</v>
      </c>
      <c r="F149" s="3">
        <v>93.4</v>
      </c>
      <c r="G149" s="3">
        <v>84.2</v>
      </c>
      <c r="H149" s="5" t="str">
        <f t="shared" si="1"/>
        <v>April 2022</v>
      </c>
      <c r="I149" s="6">
        <f t="shared" si="2"/>
        <v>44652</v>
      </c>
    </row>
    <row r="150">
      <c r="A150" s="2">
        <v>44682.0</v>
      </c>
      <c r="B150" s="3">
        <v>2022.0</v>
      </c>
      <c r="C150" s="3">
        <v>5.0</v>
      </c>
      <c r="D150" s="3" t="s">
        <v>7</v>
      </c>
      <c r="E150" s="3">
        <v>78.81</v>
      </c>
      <c r="F150" s="3">
        <v>95.41</v>
      </c>
      <c r="G150" s="3">
        <v>82.6</v>
      </c>
      <c r="H150" s="5" t="str">
        <f t="shared" si="1"/>
        <v>May 2022</v>
      </c>
      <c r="I150" s="6">
        <f t="shared" si="2"/>
        <v>44682</v>
      </c>
    </row>
    <row r="151">
      <c r="A151" s="2">
        <v>44713.0</v>
      </c>
      <c r="B151" s="3">
        <v>2022.0</v>
      </c>
      <c r="C151" s="3">
        <v>6.0</v>
      </c>
      <c r="D151" s="3" t="s">
        <v>7</v>
      </c>
      <c r="E151" s="3">
        <v>92.35</v>
      </c>
      <c r="F151" s="3">
        <v>117.37</v>
      </c>
      <c r="G151" s="3">
        <v>78.7</v>
      </c>
      <c r="H151" s="5" t="str">
        <f t="shared" si="1"/>
        <v>June 2022</v>
      </c>
      <c r="I151" s="6">
        <f t="shared" si="2"/>
        <v>44713</v>
      </c>
    </row>
    <row r="152">
      <c r="A152" s="2">
        <v>44743.0</v>
      </c>
      <c r="B152" s="3">
        <v>2022.0</v>
      </c>
      <c r="C152" s="3">
        <v>7.0</v>
      </c>
      <c r="D152" s="3" t="s">
        <v>7</v>
      </c>
      <c r="E152" s="3">
        <v>94.89</v>
      </c>
      <c r="F152" s="3">
        <v>114.95</v>
      </c>
      <c r="G152" s="3">
        <v>82.5</v>
      </c>
      <c r="H152" s="5" t="str">
        <f t="shared" si="1"/>
        <v>July 2022</v>
      </c>
      <c r="I152" s="6">
        <f t="shared" si="2"/>
        <v>44743</v>
      </c>
    </row>
    <row r="153">
      <c r="A153" s="2">
        <v>44774.0</v>
      </c>
      <c r="B153" s="3">
        <v>2022.0</v>
      </c>
      <c r="C153" s="3">
        <v>8.0</v>
      </c>
      <c r="D153" s="3" t="s">
        <v>7</v>
      </c>
      <c r="E153" s="3">
        <v>96.49</v>
      </c>
      <c r="F153" s="3">
        <v>123.24</v>
      </c>
      <c r="G153" s="3">
        <v>78.3</v>
      </c>
      <c r="H153" s="5" t="str">
        <f t="shared" si="1"/>
        <v>August 2022</v>
      </c>
      <c r="I153" s="6">
        <f t="shared" si="2"/>
        <v>44774</v>
      </c>
    </row>
    <row r="154">
      <c r="A154" s="2">
        <v>44805.0</v>
      </c>
      <c r="B154" s="3">
        <v>2022.0</v>
      </c>
      <c r="C154" s="3">
        <v>9.0</v>
      </c>
      <c r="D154" s="3" t="s">
        <v>7</v>
      </c>
      <c r="E154" s="3">
        <v>95.48</v>
      </c>
      <c r="F154" s="3">
        <v>117.38</v>
      </c>
      <c r="G154" s="3">
        <v>81.3</v>
      </c>
      <c r="H154" s="5" t="str">
        <f t="shared" si="1"/>
        <v>September 2022</v>
      </c>
      <c r="I154" s="6">
        <f t="shared" si="2"/>
        <v>44805</v>
      </c>
    </row>
    <row r="155">
      <c r="A155" s="4">
        <v>44835.0</v>
      </c>
      <c r="B155" s="3">
        <v>2022.0</v>
      </c>
      <c r="C155" s="3">
        <v>10.0</v>
      </c>
      <c r="D155" s="3" t="s">
        <v>7</v>
      </c>
      <c r="E155" s="3">
        <v>92.04</v>
      </c>
      <c r="F155" s="3">
        <v>113.81</v>
      </c>
      <c r="G155" s="3">
        <v>80.9</v>
      </c>
      <c r="H155" s="5" t="str">
        <f t="shared" si="1"/>
        <v>October 2022</v>
      </c>
      <c r="I155" s="6">
        <f t="shared" si="2"/>
        <v>44835</v>
      </c>
    </row>
    <row r="156">
      <c r="A156" s="4">
        <v>44866.0</v>
      </c>
      <c r="B156" s="3">
        <v>2022.0</v>
      </c>
      <c r="C156" s="3">
        <v>11.0</v>
      </c>
      <c r="D156" s="3" t="s">
        <v>7</v>
      </c>
      <c r="E156" s="3">
        <v>85.52</v>
      </c>
      <c r="F156" s="3">
        <v>104.4</v>
      </c>
      <c r="G156" s="3">
        <v>81.9</v>
      </c>
      <c r="H156" s="5" t="str">
        <f t="shared" si="1"/>
        <v>November 2022</v>
      </c>
      <c r="I156" s="6">
        <f t="shared" si="2"/>
        <v>44866</v>
      </c>
    </row>
    <row r="157">
      <c r="A157" s="4">
        <v>44896.0</v>
      </c>
      <c r="B157" s="3">
        <v>2022.0</v>
      </c>
      <c r="C157" s="3">
        <v>12.0</v>
      </c>
      <c r="D157" s="3" t="s">
        <v>7</v>
      </c>
      <c r="E157" s="3">
        <v>81.86</v>
      </c>
      <c r="F157" s="3">
        <v>100.58</v>
      </c>
      <c r="G157" s="3">
        <v>81.4</v>
      </c>
      <c r="H157" s="5" t="str">
        <f t="shared" si="1"/>
        <v>December 2022</v>
      </c>
      <c r="I157" s="6">
        <f t="shared" si="2"/>
        <v>44896</v>
      </c>
    </row>
    <row r="158">
      <c r="A158" s="2">
        <v>44927.0</v>
      </c>
      <c r="B158" s="3">
        <v>2023.0</v>
      </c>
      <c r="C158" s="3">
        <v>1.0</v>
      </c>
      <c r="D158" s="3" t="s">
        <v>7</v>
      </c>
      <c r="E158" s="3">
        <v>75.63</v>
      </c>
      <c r="F158" s="3">
        <v>92.03</v>
      </c>
      <c r="G158" s="3">
        <v>82.2</v>
      </c>
      <c r="H158" s="5" t="str">
        <f t="shared" si="1"/>
        <v>January 2023</v>
      </c>
      <c r="I158" s="6">
        <f t="shared" si="2"/>
        <v>44927</v>
      </c>
    </row>
    <row r="159">
      <c r="A159" s="2">
        <v>44958.0</v>
      </c>
      <c r="B159" s="3">
        <v>2023.0</v>
      </c>
      <c r="C159" s="3">
        <v>2.0</v>
      </c>
      <c r="D159" s="3" t="s">
        <v>7</v>
      </c>
      <c r="E159" s="3">
        <v>71.15</v>
      </c>
      <c r="F159" s="3">
        <v>85.77</v>
      </c>
      <c r="G159" s="3">
        <v>83.0</v>
      </c>
      <c r="H159" s="5" t="str">
        <f t="shared" si="1"/>
        <v>February 2023</v>
      </c>
      <c r="I159" s="6">
        <f t="shared" si="2"/>
        <v>44958</v>
      </c>
    </row>
    <row r="160">
      <c r="A160" s="2">
        <v>44986.0</v>
      </c>
      <c r="B160" s="3">
        <v>2023.0</v>
      </c>
      <c r="C160" s="3">
        <v>3.0</v>
      </c>
      <c r="D160" s="3" t="s">
        <v>7</v>
      </c>
      <c r="E160" s="3">
        <v>77.73</v>
      </c>
      <c r="F160" s="3">
        <v>94.7</v>
      </c>
      <c r="G160" s="3">
        <v>82.1</v>
      </c>
      <c r="H160" s="5" t="str">
        <f t="shared" si="1"/>
        <v>March 2023</v>
      </c>
      <c r="I160" s="6">
        <f t="shared" si="2"/>
        <v>44986</v>
      </c>
    </row>
    <row r="161">
      <c r="A161" s="2">
        <v>45017.0</v>
      </c>
      <c r="B161" s="3">
        <v>2023.0</v>
      </c>
      <c r="C161" s="3">
        <v>4.0</v>
      </c>
      <c r="D161" s="3" t="s">
        <v>7</v>
      </c>
      <c r="E161" s="3">
        <v>85.68</v>
      </c>
      <c r="F161" s="3">
        <v>109.72</v>
      </c>
      <c r="G161" s="3">
        <v>78.1</v>
      </c>
      <c r="H161" s="5" t="str">
        <f t="shared" si="1"/>
        <v>April 2023</v>
      </c>
      <c r="I161" s="6">
        <f t="shared" si="2"/>
        <v>45017</v>
      </c>
    </row>
    <row r="162">
      <c r="A162" s="2">
        <v>45047.0</v>
      </c>
      <c r="B162" s="3">
        <v>2023.0</v>
      </c>
      <c r="C162" s="3">
        <v>5.0</v>
      </c>
      <c r="D162" s="3" t="s">
        <v>7</v>
      </c>
      <c r="E162" s="3">
        <v>85.45</v>
      </c>
      <c r="F162" s="3">
        <v>103.52</v>
      </c>
      <c r="G162" s="3">
        <v>82.5</v>
      </c>
      <c r="H162" s="5" t="str">
        <f t="shared" si="1"/>
        <v>May 2023</v>
      </c>
      <c r="I162" s="6">
        <f t="shared" si="2"/>
        <v>45047</v>
      </c>
    </row>
    <row r="163">
      <c r="A163" s="2">
        <v>45078.0</v>
      </c>
      <c r="B163" s="3">
        <v>2023.0</v>
      </c>
      <c r="C163" s="3">
        <v>6.0</v>
      </c>
      <c r="D163" s="3" t="s">
        <v>7</v>
      </c>
      <c r="E163" s="3">
        <v>98.16</v>
      </c>
      <c r="F163" s="3">
        <v>119.22</v>
      </c>
      <c r="G163" s="3">
        <v>82.3</v>
      </c>
      <c r="H163" s="5" t="str">
        <f t="shared" si="1"/>
        <v>June 2023</v>
      </c>
      <c r="I163" s="6">
        <f t="shared" si="2"/>
        <v>45078</v>
      </c>
    </row>
    <row r="164">
      <c r="A164" s="2">
        <v>45108.0</v>
      </c>
      <c r="B164" s="3">
        <v>2023.0</v>
      </c>
      <c r="C164" s="3">
        <v>7.0</v>
      </c>
      <c r="D164" s="3" t="s">
        <v>7</v>
      </c>
      <c r="E164" s="3">
        <v>102.52</v>
      </c>
      <c r="F164" s="3">
        <v>123.03</v>
      </c>
      <c r="G164" s="3">
        <v>83.3</v>
      </c>
      <c r="H164" s="5" t="str">
        <f t="shared" si="1"/>
        <v>July 2023</v>
      </c>
      <c r="I164" s="6">
        <f t="shared" si="2"/>
        <v>45108</v>
      </c>
    </row>
    <row r="165">
      <c r="A165" s="2">
        <v>45139.0</v>
      </c>
      <c r="B165" s="3">
        <v>2023.0</v>
      </c>
      <c r="C165" s="3">
        <v>8.0</v>
      </c>
      <c r="D165" s="3" t="s">
        <v>7</v>
      </c>
      <c r="E165" s="3">
        <v>109.59</v>
      </c>
      <c r="F165" s="3">
        <v>132.09</v>
      </c>
      <c r="G165" s="3">
        <v>83.0</v>
      </c>
      <c r="H165" s="5" t="str">
        <f t="shared" si="1"/>
        <v>August 2023</v>
      </c>
      <c r="I165" s="6">
        <f t="shared" si="2"/>
        <v>45139</v>
      </c>
    </row>
    <row r="166">
      <c r="A166" s="2">
        <v>45170.0</v>
      </c>
      <c r="B166" s="3">
        <v>2023.0</v>
      </c>
      <c r="C166" s="3">
        <v>9.0</v>
      </c>
      <c r="D166" s="3" t="s">
        <v>7</v>
      </c>
      <c r="E166" s="3">
        <v>104.64</v>
      </c>
      <c r="F166" s="3">
        <v>134.52</v>
      </c>
      <c r="G166" s="3">
        <v>77.8</v>
      </c>
      <c r="H166" s="5" t="str">
        <f t="shared" si="1"/>
        <v>September 2023</v>
      </c>
      <c r="I166" s="6">
        <f t="shared" si="2"/>
        <v>45170</v>
      </c>
    </row>
    <row r="167">
      <c r="A167" s="4">
        <v>45200.0</v>
      </c>
      <c r="B167" s="3">
        <v>2023.0</v>
      </c>
      <c r="C167" s="3">
        <v>10.0</v>
      </c>
      <c r="D167" s="3" t="s">
        <v>7</v>
      </c>
      <c r="E167" s="3">
        <v>103.41</v>
      </c>
      <c r="F167" s="3">
        <v>122.46</v>
      </c>
      <c r="G167" s="3">
        <v>84.4</v>
      </c>
      <c r="H167" s="5" t="str">
        <f t="shared" si="1"/>
        <v>October 2023</v>
      </c>
      <c r="I167" s="6">
        <f t="shared" si="2"/>
        <v>45200</v>
      </c>
    </row>
    <row r="168">
      <c r="A168" s="4">
        <v>45231.0</v>
      </c>
      <c r="B168" s="3">
        <v>2023.0</v>
      </c>
      <c r="C168" s="3">
        <v>11.0</v>
      </c>
      <c r="D168" s="3" t="s">
        <v>7</v>
      </c>
      <c r="E168" s="3">
        <v>96.52</v>
      </c>
      <c r="F168" s="3">
        <v>120.28</v>
      </c>
      <c r="G168" s="3">
        <v>80.2</v>
      </c>
      <c r="H168" s="5" t="str">
        <f t="shared" si="1"/>
        <v>November 2023</v>
      </c>
      <c r="I168" s="6">
        <f t="shared" si="2"/>
        <v>45231</v>
      </c>
    </row>
    <row r="169">
      <c r="A169" s="4">
        <v>45261.0</v>
      </c>
      <c r="B169" s="3">
        <v>2023.0</v>
      </c>
      <c r="C169" s="3">
        <v>12.0</v>
      </c>
      <c r="D169" s="3" t="s">
        <v>7</v>
      </c>
      <c r="E169" s="3">
        <v>89.98</v>
      </c>
      <c r="F169" s="3">
        <v>107.48</v>
      </c>
      <c r="G169" s="3">
        <v>83.7</v>
      </c>
      <c r="H169" s="5" t="str">
        <f t="shared" si="1"/>
        <v>December 2023</v>
      </c>
      <c r="I169" s="6">
        <f t="shared" si="2"/>
        <v>45261</v>
      </c>
    </row>
    <row r="170">
      <c r="A170" s="2">
        <v>45292.0</v>
      </c>
      <c r="B170" s="3">
        <v>2024.0</v>
      </c>
      <c r="C170" s="3">
        <v>1.0</v>
      </c>
      <c r="D170" s="3" t="s">
        <v>7</v>
      </c>
      <c r="E170" s="3">
        <v>87.53</v>
      </c>
      <c r="F170" s="3">
        <v>109.07</v>
      </c>
      <c r="G170" s="3">
        <v>80.2</v>
      </c>
      <c r="H170" s="5" t="str">
        <f t="shared" si="1"/>
        <v>January 2024</v>
      </c>
      <c r="I170" s="6">
        <f t="shared" si="2"/>
        <v>45292</v>
      </c>
    </row>
    <row r="171">
      <c r="A171" s="2">
        <v>45323.0</v>
      </c>
      <c r="B171" s="3">
        <v>2024.0</v>
      </c>
      <c r="C171" s="3">
        <v>2.0</v>
      </c>
      <c r="D171" s="3" t="s">
        <v>7</v>
      </c>
      <c r="E171" s="3">
        <v>81.26</v>
      </c>
      <c r="F171" s="3">
        <v>97.32</v>
      </c>
      <c r="G171" s="3">
        <v>83.5</v>
      </c>
      <c r="H171" s="5" t="str">
        <f t="shared" si="1"/>
        <v>February 2024</v>
      </c>
      <c r="I171" s="6">
        <f t="shared" si="2"/>
        <v>45323</v>
      </c>
    </row>
    <row r="172">
      <c r="A172" s="2">
        <v>45352.0</v>
      </c>
      <c r="B172" s="3">
        <v>2024.0</v>
      </c>
      <c r="C172" s="3">
        <v>3.0</v>
      </c>
      <c r="D172" s="3" t="s">
        <v>7</v>
      </c>
      <c r="E172" s="3">
        <v>84.11</v>
      </c>
      <c r="F172" s="3">
        <v>105.45</v>
      </c>
      <c r="G172" s="3">
        <v>79.8</v>
      </c>
      <c r="H172" s="5" t="str">
        <f t="shared" si="1"/>
        <v>March 2024</v>
      </c>
      <c r="I172" s="6">
        <f t="shared" si="2"/>
        <v>45352</v>
      </c>
    </row>
    <row r="173">
      <c r="A173" s="2">
        <v>45383.0</v>
      </c>
      <c r="B173" s="3">
        <v>2024.0</v>
      </c>
      <c r="C173" s="3">
        <v>4.0</v>
      </c>
      <c r="D173" s="3" t="s">
        <v>7</v>
      </c>
      <c r="E173" s="3">
        <v>90.61</v>
      </c>
      <c r="F173" s="3">
        <v>108.97</v>
      </c>
      <c r="G173" s="3">
        <v>83.2</v>
      </c>
      <c r="H173" s="5" t="str">
        <f t="shared" si="1"/>
        <v>April 2024</v>
      </c>
      <c r="I173" s="6">
        <f t="shared" si="2"/>
        <v>45383</v>
      </c>
    </row>
    <row r="174">
      <c r="A174" s="2">
        <v>45413.0</v>
      </c>
      <c r="B174" s="3">
        <v>2024.0</v>
      </c>
      <c r="C174" s="3">
        <v>5.0</v>
      </c>
      <c r="D174" s="3" t="s">
        <v>7</v>
      </c>
      <c r="E174" s="3">
        <v>97.26</v>
      </c>
      <c r="F174" s="3">
        <v>117.97</v>
      </c>
      <c r="G174" s="3">
        <v>82.4</v>
      </c>
      <c r="H174" s="5" t="str">
        <f t="shared" si="1"/>
        <v>May 2024</v>
      </c>
      <c r="I174" s="6">
        <f t="shared" si="2"/>
        <v>45413</v>
      </c>
    </row>
    <row r="175">
      <c r="A175" s="2">
        <v>45444.0</v>
      </c>
      <c r="B175" s="3">
        <v>2024.0</v>
      </c>
      <c r="C175" s="3">
        <v>6.0</v>
      </c>
      <c r="D175" s="3" t="s">
        <v>7</v>
      </c>
      <c r="E175" s="3">
        <v>103.74</v>
      </c>
      <c r="F175" s="3">
        <v>122.1</v>
      </c>
      <c r="G175" s="3">
        <v>85.0</v>
      </c>
      <c r="H175" s="5" t="str">
        <f t="shared" si="1"/>
        <v>June 2024</v>
      </c>
      <c r="I175" s="6">
        <f t="shared" si="2"/>
        <v>45444</v>
      </c>
    </row>
    <row r="176">
      <c r="A176" s="2">
        <v>45474.0</v>
      </c>
      <c r="B176" s="3">
        <v>2024.0</v>
      </c>
      <c r="C176" s="3">
        <v>7.0</v>
      </c>
      <c r="D176" s="3" t="s">
        <v>7</v>
      </c>
      <c r="E176" s="3">
        <v>107.23</v>
      </c>
      <c r="F176" s="3">
        <v>132.67</v>
      </c>
      <c r="G176" s="3">
        <v>80.8</v>
      </c>
      <c r="H176" s="5" t="str">
        <f t="shared" si="1"/>
        <v>July 2024</v>
      </c>
      <c r="I176" s="6">
        <f t="shared" si="2"/>
        <v>45474</v>
      </c>
    </row>
    <row r="177">
      <c r="A177" s="2">
        <v>45505.0</v>
      </c>
      <c r="B177" s="3">
        <v>2024.0</v>
      </c>
      <c r="C177" s="3">
        <v>8.0</v>
      </c>
      <c r="D177" s="3" t="s">
        <v>7</v>
      </c>
      <c r="E177" s="3">
        <v>112.45</v>
      </c>
      <c r="F177" s="3">
        <v>134.26</v>
      </c>
      <c r="G177" s="3">
        <v>83.8</v>
      </c>
      <c r="H177" s="5" t="str">
        <f t="shared" si="1"/>
        <v>August 2024</v>
      </c>
      <c r="I177" s="6">
        <f t="shared" si="2"/>
        <v>45505</v>
      </c>
    </row>
    <row r="178">
      <c r="A178" s="2">
        <v>45536.0</v>
      </c>
      <c r="B178" s="3">
        <v>2024.0</v>
      </c>
      <c r="C178" s="3">
        <v>9.0</v>
      </c>
      <c r="D178" s="3" t="s">
        <v>7</v>
      </c>
      <c r="E178" s="3">
        <v>105.87</v>
      </c>
      <c r="F178" s="3">
        <v>133.37</v>
      </c>
      <c r="G178" s="3">
        <v>79.4</v>
      </c>
      <c r="H178" s="5" t="str">
        <f t="shared" si="1"/>
        <v>September 2024</v>
      </c>
      <c r="I178" s="6">
        <f t="shared" si="2"/>
        <v>45536</v>
      </c>
    </row>
    <row r="179">
      <c r="A179" s="4">
        <v>45566.0</v>
      </c>
      <c r="B179" s="3">
        <v>2024.0</v>
      </c>
      <c r="C179" s="3">
        <v>10.0</v>
      </c>
      <c r="D179" s="3" t="s">
        <v>7</v>
      </c>
      <c r="E179" s="3">
        <v>99.36</v>
      </c>
      <c r="F179" s="3">
        <v>121.07</v>
      </c>
      <c r="G179" s="3">
        <v>82.1</v>
      </c>
      <c r="H179" s="5" t="str">
        <f t="shared" si="1"/>
        <v>October 2024</v>
      </c>
      <c r="I179" s="6">
        <f t="shared" si="2"/>
        <v>45566</v>
      </c>
    </row>
    <row r="180">
      <c r="A180" s="4">
        <v>45597.0</v>
      </c>
      <c r="B180" s="3">
        <v>2024.0</v>
      </c>
      <c r="C180" s="3">
        <v>11.0</v>
      </c>
      <c r="D180" s="3" t="s">
        <v>7</v>
      </c>
      <c r="E180" s="3">
        <v>95.25</v>
      </c>
      <c r="F180" s="3">
        <v>117.26</v>
      </c>
      <c r="G180" s="3">
        <v>81.2</v>
      </c>
      <c r="H180" s="5" t="str">
        <f t="shared" si="1"/>
        <v>November 2024</v>
      </c>
      <c r="I180" s="6">
        <f t="shared" si="2"/>
        <v>45597</v>
      </c>
    </row>
    <row r="181">
      <c r="A181" s="4">
        <v>45627.0</v>
      </c>
      <c r="B181" s="3">
        <v>2024.0</v>
      </c>
      <c r="C181" s="3">
        <v>12.0</v>
      </c>
      <c r="D181" s="3" t="s">
        <v>7</v>
      </c>
      <c r="E181" s="3">
        <v>93.17</v>
      </c>
      <c r="F181" s="3">
        <v>115.43</v>
      </c>
      <c r="G181" s="3">
        <v>80.7</v>
      </c>
      <c r="H181" s="5" t="str">
        <f t="shared" si="1"/>
        <v>December 2024</v>
      </c>
      <c r="I181" s="6">
        <f t="shared" si="2"/>
        <v>45627</v>
      </c>
    </row>
    <row r="182">
      <c r="A182" s="2">
        <v>45658.0</v>
      </c>
      <c r="B182" s="3">
        <v>2025.0</v>
      </c>
      <c r="C182" s="3">
        <v>1.0</v>
      </c>
      <c r="D182" s="3" t="s">
        <v>7</v>
      </c>
      <c r="E182" s="3">
        <v>86.74</v>
      </c>
      <c r="F182" s="3">
        <v>106.56</v>
      </c>
      <c r="G182" s="3">
        <v>81.4</v>
      </c>
      <c r="H182" s="5" t="str">
        <f t="shared" si="1"/>
        <v>January 2025</v>
      </c>
      <c r="I182" s="6">
        <f t="shared" si="2"/>
        <v>45658</v>
      </c>
    </row>
    <row r="183">
      <c r="A183" s="2">
        <v>45689.0</v>
      </c>
      <c r="B183" s="3">
        <v>2025.0</v>
      </c>
      <c r="C183" s="3">
        <v>2.0</v>
      </c>
      <c r="D183" s="3" t="s">
        <v>7</v>
      </c>
      <c r="E183" s="3">
        <v>86.08</v>
      </c>
      <c r="F183" s="3">
        <v>103.77</v>
      </c>
      <c r="G183" s="3">
        <v>83.0</v>
      </c>
      <c r="H183" s="5" t="str">
        <f t="shared" si="1"/>
        <v>February 2025</v>
      </c>
      <c r="I183" s="6">
        <f t="shared" si="2"/>
        <v>45689</v>
      </c>
    </row>
    <row r="184">
      <c r="A184" s="2">
        <v>45717.0</v>
      </c>
      <c r="B184" s="3">
        <v>2025.0</v>
      </c>
      <c r="C184" s="3">
        <v>3.0</v>
      </c>
      <c r="D184" s="3" t="s">
        <v>7</v>
      </c>
      <c r="E184" s="3">
        <v>84.8</v>
      </c>
      <c r="F184" s="3">
        <v>103.84</v>
      </c>
      <c r="G184" s="3">
        <v>81.7</v>
      </c>
      <c r="H184" s="5" t="str">
        <f t="shared" si="1"/>
        <v>March 2025</v>
      </c>
      <c r="I184" s="6">
        <f t="shared" si="2"/>
        <v>45717</v>
      </c>
    </row>
    <row r="185">
      <c r="A185" s="2">
        <v>45748.0</v>
      </c>
      <c r="B185" s="3">
        <v>2025.0</v>
      </c>
      <c r="C185" s="3">
        <v>4.0</v>
      </c>
      <c r="D185" s="3" t="s">
        <v>7</v>
      </c>
      <c r="E185" s="3">
        <v>95.2</v>
      </c>
      <c r="F185" s="3">
        <v>115.0</v>
      </c>
      <c r="G185" s="3">
        <v>82.8</v>
      </c>
      <c r="H185" s="5" t="str">
        <f t="shared" si="1"/>
        <v>April 2025</v>
      </c>
      <c r="I185" s="6">
        <f t="shared" si="2"/>
        <v>45748</v>
      </c>
    </row>
    <row r="186">
      <c r="A186" s="2">
        <v>45778.0</v>
      </c>
      <c r="B186" s="3">
        <v>2025.0</v>
      </c>
      <c r="C186" s="3">
        <v>5.0</v>
      </c>
      <c r="D186" s="3" t="s">
        <v>7</v>
      </c>
      <c r="E186" s="3">
        <v>95.9</v>
      </c>
      <c r="F186" s="3">
        <v>115.11</v>
      </c>
      <c r="G186" s="3">
        <v>83.3</v>
      </c>
      <c r="H186" s="5" t="str">
        <f t="shared" si="1"/>
        <v>May 2025</v>
      </c>
      <c r="I186" s="6">
        <f t="shared" si="2"/>
        <v>45778</v>
      </c>
    </row>
    <row r="187">
      <c r="A187" s="2">
        <v>45809.0</v>
      </c>
      <c r="B187" s="3">
        <v>2025.0</v>
      </c>
      <c r="C187" s="3">
        <v>6.0</v>
      </c>
      <c r="D187" s="3" t="s">
        <v>7</v>
      </c>
      <c r="E187" s="3">
        <v>104.32</v>
      </c>
      <c r="F187" s="3">
        <v>122.98</v>
      </c>
      <c r="G187" s="3">
        <v>84.8</v>
      </c>
      <c r="H187" s="5" t="str">
        <f t="shared" si="1"/>
        <v>June 2025</v>
      </c>
      <c r="I187" s="6">
        <f t="shared" si="2"/>
        <v>45809</v>
      </c>
    </row>
    <row r="188">
      <c r="A188" s="2">
        <v>45839.0</v>
      </c>
      <c r="B188" s="3">
        <v>2025.0</v>
      </c>
      <c r="C188" s="3">
        <v>7.0</v>
      </c>
      <c r="D188" s="3" t="s">
        <v>7</v>
      </c>
      <c r="E188" s="3">
        <v>117.1</v>
      </c>
      <c r="F188" s="3">
        <v>141.8</v>
      </c>
      <c r="G188" s="3">
        <v>82.6</v>
      </c>
      <c r="H188" s="5" t="str">
        <f t="shared" si="1"/>
        <v>July 2025</v>
      </c>
      <c r="I188" s="6">
        <f t="shared" si="2"/>
        <v>45839</v>
      </c>
    </row>
    <row r="189">
      <c r="A189" s="2">
        <v>45870.0</v>
      </c>
      <c r="B189" s="3">
        <v>2025.0</v>
      </c>
      <c r="C189" s="3">
        <v>8.0</v>
      </c>
      <c r="D189" s="3" t="s">
        <v>7</v>
      </c>
      <c r="E189" s="3">
        <v>116.41</v>
      </c>
      <c r="F189" s="3">
        <v>142.69</v>
      </c>
      <c r="G189" s="3">
        <v>81.6</v>
      </c>
      <c r="H189" s="5" t="str">
        <f t="shared" si="1"/>
        <v>August 2025</v>
      </c>
      <c r="I189" s="6">
        <f t="shared" si="2"/>
        <v>45870</v>
      </c>
    </row>
    <row r="190">
      <c r="A190" s="2">
        <v>45901.0</v>
      </c>
      <c r="B190" s="3">
        <v>2025.0</v>
      </c>
      <c r="C190" s="3">
        <v>9.0</v>
      </c>
      <c r="D190" s="3" t="s">
        <v>7</v>
      </c>
      <c r="E190" s="3">
        <v>116.47</v>
      </c>
      <c r="F190" s="3">
        <v>143.33</v>
      </c>
      <c r="G190" s="3">
        <v>81.3</v>
      </c>
      <c r="H190" s="5" t="str">
        <f t="shared" si="1"/>
        <v>September 2025</v>
      </c>
      <c r="I190" s="6">
        <f t="shared" si="2"/>
        <v>45901</v>
      </c>
    </row>
    <row r="191">
      <c r="A191" s="4">
        <v>45931.0</v>
      </c>
      <c r="B191" s="3">
        <v>2025.0</v>
      </c>
      <c r="C191" s="3">
        <v>10.0</v>
      </c>
      <c r="D191" s="3" t="s">
        <v>7</v>
      </c>
      <c r="E191" s="3">
        <v>109.62</v>
      </c>
      <c r="F191" s="3">
        <v>130.89</v>
      </c>
      <c r="G191" s="3">
        <v>83.7</v>
      </c>
      <c r="H191" s="5" t="str">
        <f t="shared" si="1"/>
        <v>October 2025</v>
      </c>
      <c r="I191" s="6">
        <f t="shared" si="2"/>
        <v>45931</v>
      </c>
    </row>
    <row r="192">
      <c r="A192" s="4">
        <v>45962.0</v>
      </c>
      <c r="B192" s="3">
        <v>2025.0</v>
      </c>
      <c r="C192" s="3">
        <v>11.0</v>
      </c>
      <c r="D192" s="3" t="s">
        <v>7</v>
      </c>
      <c r="E192" s="3">
        <v>99.8</v>
      </c>
      <c r="F192" s="3">
        <v>123.57</v>
      </c>
      <c r="G192" s="3">
        <v>80.8</v>
      </c>
      <c r="H192" s="5" t="str">
        <f t="shared" si="1"/>
        <v>November 2025</v>
      </c>
      <c r="I192" s="6">
        <f t="shared" si="2"/>
        <v>45962</v>
      </c>
    </row>
    <row r="193">
      <c r="A193" s="4">
        <v>45992.0</v>
      </c>
      <c r="B193" s="3">
        <v>2025.0</v>
      </c>
      <c r="C193" s="3">
        <v>12.0</v>
      </c>
      <c r="D193" s="3" t="s">
        <v>7</v>
      </c>
      <c r="E193" s="3">
        <v>90.81</v>
      </c>
      <c r="F193" s="3">
        <v>113.69</v>
      </c>
      <c r="G193" s="3">
        <v>79.9</v>
      </c>
      <c r="H193" s="5" t="str">
        <f t="shared" si="1"/>
        <v>December 2025</v>
      </c>
      <c r="I193" s="6">
        <f t="shared" si="2"/>
        <v>45992</v>
      </c>
    </row>
    <row r="194">
      <c r="A194" s="2">
        <v>46023.0</v>
      </c>
      <c r="B194" s="3">
        <v>2026.0</v>
      </c>
      <c r="C194" s="3">
        <v>1.0</v>
      </c>
      <c r="D194" s="3" t="s">
        <v>7</v>
      </c>
      <c r="E194" s="3">
        <v>84.01</v>
      </c>
      <c r="F194" s="3">
        <v>100.66</v>
      </c>
      <c r="G194" s="3">
        <v>83.5</v>
      </c>
      <c r="H194" s="5" t="str">
        <f t="shared" si="1"/>
        <v>January 2026</v>
      </c>
      <c r="I194" s="6">
        <f t="shared" si="2"/>
        <v>46023</v>
      </c>
    </row>
    <row r="195">
      <c r="A195" s="2">
        <v>46054.0</v>
      </c>
      <c r="B195" s="3">
        <v>2026.0</v>
      </c>
      <c r="C195" s="3">
        <v>2.0</v>
      </c>
      <c r="D195" s="3" t="s">
        <v>7</v>
      </c>
      <c r="E195" s="3">
        <v>91.53</v>
      </c>
      <c r="F195" s="3">
        <v>107.88</v>
      </c>
      <c r="G195" s="3">
        <v>84.9</v>
      </c>
      <c r="H195" s="5" t="str">
        <f t="shared" si="1"/>
        <v>February 2026</v>
      </c>
      <c r="I195" s="6">
        <f t="shared" si="2"/>
        <v>46054</v>
      </c>
    </row>
    <row r="196">
      <c r="A196" s="2">
        <v>46082.0</v>
      </c>
      <c r="B196" s="3">
        <v>2026.0</v>
      </c>
      <c r="C196" s="3">
        <v>3.0</v>
      </c>
      <c r="D196" s="3" t="s">
        <v>7</v>
      </c>
      <c r="E196" s="3">
        <v>84.52</v>
      </c>
      <c r="F196" s="3">
        <v>101.29</v>
      </c>
      <c r="G196" s="3">
        <v>83.4</v>
      </c>
      <c r="H196" s="5" t="str">
        <f t="shared" si="1"/>
        <v>March 2026</v>
      </c>
      <c r="I196" s="6">
        <f t="shared" si="2"/>
        <v>46082</v>
      </c>
    </row>
    <row r="197">
      <c r="A197" s="2">
        <v>46113.0</v>
      </c>
      <c r="B197" s="3">
        <v>2026.0</v>
      </c>
      <c r="C197" s="3">
        <v>4.0</v>
      </c>
      <c r="D197" s="3" t="s">
        <v>7</v>
      </c>
      <c r="E197" s="3">
        <v>98.46</v>
      </c>
      <c r="F197" s="3">
        <v>121.43</v>
      </c>
      <c r="G197" s="3">
        <v>81.1</v>
      </c>
      <c r="H197" s="5" t="str">
        <f t="shared" si="1"/>
        <v>April 2026</v>
      </c>
      <c r="I197" s="6">
        <f t="shared" si="2"/>
        <v>46113</v>
      </c>
    </row>
    <row r="198">
      <c r="A198" s="2">
        <v>40179.0</v>
      </c>
      <c r="B198" s="3">
        <v>2010.0</v>
      </c>
      <c r="C198" s="3">
        <v>1.0</v>
      </c>
      <c r="D198" s="3" t="s">
        <v>8</v>
      </c>
      <c r="E198" s="3">
        <v>68.07</v>
      </c>
      <c r="F198" s="3">
        <v>87.29</v>
      </c>
      <c r="G198" s="3">
        <v>78.0</v>
      </c>
      <c r="H198" s="5" t="str">
        <f t="shared" si="1"/>
        <v>January 2010</v>
      </c>
      <c r="I198" s="6">
        <f t="shared" si="2"/>
        <v>40179</v>
      </c>
    </row>
    <row r="199">
      <c r="A199" s="2">
        <v>40210.0</v>
      </c>
      <c r="B199" s="3">
        <v>2010.0</v>
      </c>
      <c r="C199" s="3">
        <v>2.0</v>
      </c>
      <c r="D199" s="3" t="s">
        <v>8</v>
      </c>
      <c r="E199" s="3">
        <v>67.15</v>
      </c>
      <c r="F199" s="3">
        <v>84.07</v>
      </c>
      <c r="G199" s="3">
        <v>79.9</v>
      </c>
      <c r="H199" s="5" t="str">
        <f t="shared" si="1"/>
        <v>February 2010</v>
      </c>
      <c r="I199" s="6">
        <f t="shared" si="2"/>
        <v>40210</v>
      </c>
    </row>
    <row r="200">
      <c r="A200" s="2">
        <v>40238.0</v>
      </c>
      <c r="B200" s="3">
        <v>2010.0</v>
      </c>
      <c r="C200" s="3">
        <v>3.0</v>
      </c>
      <c r="D200" s="3" t="s">
        <v>8</v>
      </c>
      <c r="E200" s="3">
        <v>68.92</v>
      </c>
      <c r="F200" s="3">
        <v>87.37</v>
      </c>
      <c r="G200" s="3">
        <v>78.9</v>
      </c>
      <c r="H200" s="5" t="str">
        <f t="shared" si="1"/>
        <v>March 2010</v>
      </c>
      <c r="I200" s="6">
        <f t="shared" si="2"/>
        <v>40238</v>
      </c>
    </row>
    <row r="201">
      <c r="A201" s="2">
        <v>40269.0</v>
      </c>
      <c r="B201" s="3">
        <v>2010.0</v>
      </c>
      <c r="C201" s="3">
        <v>4.0</v>
      </c>
      <c r="D201" s="3" t="s">
        <v>8</v>
      </c>
      <c r="E201" s="3">
        <v>74.37</v>
      </c>
      <c r="F201" s="3">
        <v>88.48</v>
      </c>
      <c r="G201" s="3">
        <v>84.0</v>
      </c>
      <c r="H201" s="5" t="str">
        <f t="shared" si="1"/>
        <v>April 2010</v>
      </c>
      <c r="I201" s="6">
        <f t="shared" si="2"/>
        <v>40269</v>
      </c>
    </row>
    <row r="202">
      <c r="A202" s="2">
        <v>40299.0</v>
      </c>
      <c r="B202" s="3">
        <v>2010.0</v>
      </c>
      <c r="C202" s="3">
        <v>5.0</v>
      </c>
      <c r="D202" s="3" t="s">
        <v>8</v>
      </c>
      <c r="E202" s="3">
        <v>77.62</v>
      </c>
      <c r="F202" s="3">
        <v>97.36</v>
      </c>
      <c r="G202" s="3">
        <v>79.7</v>
      </c>
      <c r="H202" s="5" t="str">
        <f t="shared" si="1"/>
        <v>May 2010</v>
      </c>
      <c r="I202" s="6">
        <f t="shared" si="2"/>
        <v>40299</v>
      </c>
    </row>
    <row r="203">
      <c r="A203" s="2">
        <v>40330.0</v>
      </c>
      <c r="B203" s="3">
        <v>2010.0</v>
      </c>
      <c r="C203" s="3">
        <v>6.0</v>
      </c>
      <c r="D203" s="3" t="s">
        <v>8</v>
      </c>
      <c r="E203" s="3">
        <v>80.45</v>
      </c>
      <c r="F203" s="3">
        <v>98.75</v>
      </c>
      <c r="G203" s="3">
        <v>81.5</v>
      </c>
      <c r="H203" s="5" t="str">
        <f t="shared" si="1"/>
        <v>June 2010</v>
      </c>
      <c r="I203" s="6">
        <f t="shared" si="2"/>
        <v>40330</v>
      </c>
    </row>
    <row r="204">
      <c r="A204" s="2">
        <v>40360.0</v>
      </c>
      <c r="B204" s="3">
        <v>2010.0</v>
      </c>
      <c r="C204" s="3">
        <v>7.0</v>
      </c>
      <c r="D204" s="3" t="s">
        <v>8</v>
      </c>
      <c r="E204" s="3">
        <v>89.05</v>
      </c>
      <c r="F204" s="3">
        <v>112.87</v>
      </c>
      <c r="G204" s="3">
        <v>78.9</v>
      </c>
      <c r="H204" s="5" t="str">
        <f t="shared" si="1"/>
        <v>July 2010</v>
      </c>
      <c r="I204" s="6">
        <f t="shared" si="2"/>
        <v>40360</v>
      </c>
    </row>
    <row r="205">
      <c r="A205" s="2">
        <v>40391.0</v>
      </c>
      <c r="B205" s="3">
        <v>2010.0</v>
      </c>
      <c r="C205" s="3">
        <v>8.0</v>
      </c>
      <c r="D205" s="3" t="s">
        <v>8</v>
      </c>
      <c r="E205" s="3">
        <v>93.92</v>
      </c>
      <c r="F205" s="3">
        <v>115.81</v>
      </c>
      <c r="G205" s="3">
        <v>81.1</v>
      </c>
      <c r="H205" s="5" t="str">
        <f t="shared" si="1"/>
        <v>August 2010</v>
      </c>
      <c r="I205" s="6">
        <f t="shared" si="2"/>
        <v>40391</v>
      </c>
    </row>
    <row r="206">
      <c r="A206" s="2">
        <v>40422.0</v>
      </c>
      <c r="B206" s="3">
        <v>2010.0</v>
      </c>
      <c r="C206" s="3">
        <v>9.0</v>
      </c>
      <c r="D206" s="3" t="s">
        <v>8</v>
      </c>
      <c r="E206" s="3">
        <v>88.54</v>
      </c>
      <c r="F206" s="3">
        <v>109.46</v>
      </c>
      <c r="G206" s="3">
        <v>80.9</v>
      </c>
      <c r="H206" s="5" t="str">
        <f t="shared" si="1"/>
        <v>September 2010</v>
      </c>
      <c r="I206" s="6">
        <f t="shared" si="2"/>
        <v>40422</v>
      </c>
    </row>
    <row r="207">
      <c r="A207" s="4">
        <v>40452.0</v>
      </c>
      <c r="B207" s="3">
        <v>2010.0</v>
      </c>
      <c r="C207" s="3">
        <v>10.0</v>
      </c>
      <c r="D207" s="3" t="s">
        <v>8</v>
      </c>
      <c r="E207" s="3">
        <v>90.25</v>
      </c>
      <c r="F207" s="3">
        <v>108.47</v>
      </c>
      <c r="G207" s="3">
        <v>83.2</v>
      </c>
      <c r="H207" s="5" t="str">
        <f t="shared" si="1"/>
        <v>October 2010</v>
      </c>
      <c r="I207" s="6">
        <f t="shared" si="2"/>
        <v>40452</v>
      </c>
    </row>
    <row r="208">
      <c r="A208" s="4">
        <v>40483.0</v>
      </c>
      <c r="B208" s="3">
        <v>2010.0</v>
      </c>
      <c r="C208" s="3">
        <v>11.0</v>
      </c>
      <c r="D208" s="3" t="s">
        <v>8</v>
      </c>
      <c r="E208" s="3">
        <v>81.35</v>
      </c>
      <c r="F208" s="3">
        <v>97.73</v>
      </c>
      <c r="G208" s="3">
        <v>83.2</v>
      </c>
      <c r="H208" s="5" t="str">
        <f t="shared" si="1"/>
        <v>November 2010</v>
      </c>
      <c r="I208" s="6">
        <f t="shared" si="2"/>
        <v>40483</v>
      </c>
    </row>
    <row r="209">
      <c r="A209" s="4">
        <v>40513.0</v>
      </c>
      <c r="B209" s="3">
        <v>2010.0</v>
      </c>
      <c r="C209" s="3">
        <v>12.0</v>
      </c>
      <c r="D209" s="3" t="s">
        <v>8</v>
      </c>
      <c r="E209" s="3">
        <v>73.28</v>
      </c>
      <c r="F209" s="3">
        <v>89.3</v>
      </c>
      <c r="G209" s="3">
        <v>82.1</v>
      </c>
      <c r="H209" s="5" t="str">
        <f t="shared" si="1"/>
        <v>December 2010</v>
      </c>
      <c r="I209" s="6">
        <f t="shared" si="2"/>
        <v>40513</v>
      </c>
    </row>
    <row r="210">
      <c r="A210" s="2">
        <v>40544.0</v>
      </c>
      <c r="B210" s="3">
        <v>2011.0</v>
      </c>
      <c r="C210" s="3">
        <v>1.0</v>
      </c>
      <c r="D210" s="3" t="s">
        <v>8</v>
      </c>
      <c r="E210" s="3">
        <v>72.01</v>
      </c>
      <c r="F210" s="3">
        <v>88.84</v>
      </c>
      <c r="G210" s="3">
        <v>81.1</v>
      </c>
      <c r="H210" s="5" t="str">
        <f t="shared" si="1"/>
        <v>January 2011</v>
      </c>
      <c r="I210" s="6">
        <f t="shared" si="2"/>
        <v>40544</v>
      </c>
    </row>
    <row r="211">
      <c r="A211" s="2">
        <v>40575.0</v>
      </c>
      <c r="B211" s="3">
        <v>2011.0</v>
      </c>
      <c r="C211" s="3">
        <v>2.0</v>
      </c>
      <c r="D211" s="3" t="s">
        <v>8</v>
      </c>
      <c r="E211" s="3">
        <v>71.28</v>
      </c>
      <c r="F211" s="3">
        <v>88.61</v>
      </c>
      <c r="G211" s="3">
        <v>80.4</v>
      </c>
      <c r="H211" s="5" t="str">
        <f t="shared" si="1"/>
        <v>February 2011</v>
      </c>
      <c r="I211" s="6">
        <f t="shared" si="2"/>
        <v>40575</v>
      </c>
    </row>
    <row r="212">
      <c r="A212" s="2">
        <v>40603.0</v>
      </c>
      <c r="B212" s="3">
        <v>2011.0</v>
      </c>
      <c r="C212" s="3">
        <v>3.0</v>
      </c>
      <c r="D212" s="3" t="s">
        <v>8</v>
      </c>
      <c r="E212" s="3">
        <v>73.45</v>
      </c>
      <c r="F212" s="3">
        <v>88.38</v>
      </c>
      <c r="G212" s="3">
        <v>83.1</v>
      </c>
      <c r="H212" s="5" t="str">
        <f t="shared" si="1"/>
        <v>March 2011</v>
      </c>
      <c r="I212" s="6">
        <f t="shared" si="2"/>
        <v>40603</v>
      </c>
    </row>
    <row r="213">
      <c r="A213" s="2">
        <v>40634.0</v>
      </c>
      <c r="B213" s="3">
        <v>2011.0</v>
      </c>
      <c r="C213" s="3">
        <v>4.0</v>
      </c>
      <c r="D213" s="3" t="s">
        <v>8</v>
      </c>
      <c r="E213" s="3">
        <v>70.77</v>
      </c>
      <c r="F213" s="3">
        <v>83.86</v>
      </c>
      <c r="G213" s="3">
        <v>84.4</v>
      </c>
      <c r="H213" s="5" t="str">
        <f t="shared" si="1"/>
        <v>April 2011</v>
      </c>
      <c r="I213" s="6">
        <f t="shared" si="2"/>
        <v>40634</v>
      </c>
    </row>
    <row r="214">
      <c r="A214" s="2">
        <v>40664.0</v>
      </c>
      <c r="B214" s="3">
        <v>2011.0</v>
      </c>
      <c r="C214" s="3">
        <v>5.0</v>
      </c>
      <c r="D214" s="3" t="s">
        <v>8</v>
      </c>
      <c r="E214" s="3">
        <v>76.54</v>
      </c>
      <c r="F214" s="3">
        <v>94.76</v>
      </c>
      <c r="G214" s="3">
        <v>80.8</v>
      </c>
      <c r="H214" s="5" t="str">
        <f t="shared" si="1"/>
        <v>May 2011</v>
      </c>
      <c r="I214" s="6">
        <f t="shared" si="2"/>
        <v>40664</v>
      </c>
    </row>
    <row r="215">
      <c r="A215" s="2">
        <v>40695.0</v>
      </c>
      <c r="B215" s="3">
        <v>2011.0</v>
      </c>
      <c r="C215" s="3">
        <v>6.0</v>
      </c>
      <c r="D215" s="3" t="s">
        <v>8</v>
      </c>
      <c r="E215" s="3">
        <v>93.38</v>
      </c>
      <c r="F215" s="3">
        <v>114.77</v>
      </c>
      <c r="G215" s="3">
        <v>81.4</v>
      </c>
      <c r="H215" s="5" t="str">
        <f t="shared" si="1"/>
        <v>June 2011</v>
      </c>
      <c r="I215" s="6">
        <f t="shared" si="2"/>
        <v>40695</v>
      </c>
    </row>
    <row r="216">
      <c r="A216" s="2">
        <v>40725.0</v>
      </c>
      <c r="B216" s="3">
        <v>2011.0</v>
      </c>
      <c r="C216" s="3">
        <v>7.0</v>
      </c>
      <c r="D216" s="3" t="s">
        <v>8</v>
      </c>
      <c r="E216" s="3">
        <v>91.48</v>
      </c>
      <c r="F216" s="3">
        <v>114.61</v>
      </c>
      <c r="G216" s="3">
        <v>79.8</v>
      </c>
      <c r="H216" s="5" t="str">
        <f t="shared" si="1"/>
        <v>July 2011</v>
      </c>
      <c r="I216" s="6">
        <f t="shared" si="2"/>
        <v>40725</v>
      </c>
    </row>
    <row r="217">
      <c r="A217" s="2">
        <v>40756.0</v>
      </c>
      <c r="B217" s="3">
        <v>2011.0</v>
      </c>
      <c r="C217" s="3">
        <v>8.0</v>
      </c>
      <c r="D217" s="3" t="s">
        <v>8</v>
      </c>
      <c r="E217" s="3">
        <v>100.77</v>
      </c>
      <c r="F217" s="3">
        <v>128.93</v>
      </c>
      <c r="G217" s="3">
        <v>78.2</v>
      </c>
      <c r="H217" s="5" t="str">
        <f t="shared" si="1"/>
        <v>August 2011</v>
      </c>
      <c r="I217" s="6">
        <f t="shared" si="2"/>
        <v>40756</v>
      </c>
    </row>
    <row r="218">
      <c r="A218" s="2">
        <v>40787.0</v>
      </c>
      <c r="B218" s="3">
        <v>2011.0</v>
      </c>
      <c r="C218" s="3">
        <v>9.0</v>
      </c>
      <c r="D218" s="3" t="s">
        <v>8</v>
      </c>
      <c r="E218" s="3">
        <v>99.74</v>
      </c>
      <c r="F218" s="3">
        <v>121.8</v>
      </c>
      <c r="G218" s="3">
        <v>81.9</v>
      </c>
      <c r="H218" s="5" t="str">
        <f t="shared" si="1"/>
        <v>September 2011</v>
      </c>
      <c r="I218" s="6">
        <f t="shared" si="2"/>
        <v>40787</v>
      </c>
    </row>
    <row r="219">
      <c r="A219" s="4">
        <v>40817.0</v>
      </c>
      <c r="B219" s="3">
        <v>2011.0</v>
      </c>
      <c r="C219" s="3">
        <v>10.0</v>
      </c>
      <c r="D219" s="3" t="s">
        <v>8</v>
      </c>
      <c r="E219" s="3">
        <v>88.89</v>
      </c>
      <c r="F219" s="3">
        <v>109.97</v>
      </c>
      <c r="G219" s="3">
        <v>80.8</v>
      </c>
      <c r="H219" s="5" t="str">
        <f t="shared" si="1"/>
        <v>October 2011</v>
      </c>
      <c r="I219" s="6">
        <f t="shared" si="2"/>
        <v>40817</v>
      </c>
    </row>
    <row r="220">
      <c r="A220" s="4">
        <v>40848.0</v>
      </c>
      <c r="B220" s="3">
        <v>2011.0</v>
      </c>
      <c r="C220" s="3">
        <v>11.0</v>
      </c>
      <c r="D220" s="3" t="s">
        <v>8</v>
      </c>
      <c r="E220" s="3">
        <v>83.48</v>
      </c>
      <c r="F220" s="3">
        <v>99.7</v>
      </c>
      <c r="G220" s="3">
        <v>83.7</v>
      </c>
      <c r="H220" s="5" t="str">
        <f t="shared" si="1"/>
        <v>November 2011</v>
      </c>
      <c r="I220" s="6">
        <f t="shared" si="2"/>
        <v>40848</v>
      </c>
    </row>
    <row r="221">
      <c r="A221" s="4">
        <v>40878.0</v>
      </c>
      <c r="B221" s="3">
        <v>2011.0</v>
      </c>
      <c r="C221" s="3">
        <v>12.0</v>
      </c>
      <c r="D221" s="3" t="s">
        <v>8</v>
      </c>
      <c r="E221" s="3">
        <v>81.73</v>
      </c>
      <c r="F221" s="3">
        <v>104.03</v>
      </c>
      <c r="G221" s="3">
        <v>78.6</v>
      </c>
      <c r="H221" s="5" t="str">
        <f t="shared" si="1"/>
        <v>December 2011</v>
      </c>
      <c r="I221" s="6">
        <f t="shared" si="2"/>
        <v>40878</v>
      </c>
    </row>
    <row r="222">
      <c r="A222" s="2">
        <v>40909.0</v>
      </c>
      <c r="B222" s="3">
        <v>2012.0</v>
      </c>
      <c r="C222" s="3">
        <v>1.0</v>
      </c>
      <c r="D222" s="3" t="s">
        <v>8</v>
      </c>
      <c r="E222" s="3">
        <v>74.62</v>
      </c>
      <c r="F222" s="3">
        <v>92.95</v>
      </c>
      <c r="G222" s="3">
        <v>80.3</v>
      </c>
      <c r="H222" s="5" t="str">
        <f t="shared" si="1"/>
        <v>January 2012</v>
      </c>
      <c r="I222" s="6">
        <f t="shared" si="2"/>
        <v>40909</v>
      </c>
    </row>
    <row r="223">
      <c r="A223" s="2">
        <v>40940.0</v>
      </c>
      <c r="B223" s="3">
        <v>2012.0</v>
      </c>
      <c r="C223" s="3">
        <v>2.0</v>
      </c>
      <c r="D223" s="3" t="s">
        <v>8</v>
      </c>
      <c r="E223" s="3">
        <v>77.02</v>
      </c>
      <c r="F223" s="3">
        <v>97.13</v>
      </c>
      <c r="G223" s="3">
        <v>79.3</v>
      </c>
      <c r="H223" s="5" t="str">
        <f t="shared" si="1"/>
        <v>February 2012</v>
      </c>
      <c r="I223" s="6">
        <f t="shared" si="2"/>
        <v>40940</v>
      </c>
    </row>
    <row r="224">
      <c r="A224" s="2">
        <v>40969.0</v>
      </c>
      <c r="B224" s="3">
        <v>2012.0</v>
      </c>
      <c r="C224" s="3">
        <v>3.0</v>
      </c>
      <c r="D224" s="3" t="s">
        <v>8</v>
      </c>
      <c r="E224" s="3">
        <v>79.92</v>
      </c>
      <c r="F224" s="3">
        <v>97.54</v>
      </c>
      <c r="G224" s="3">
        <v>81.9</v>
      </c>
      <c r="H224" s="5" t="str">
        <f t="shared" si="1"/>
        <v>March 2012</v>
      </c>
      <c r="I224" s="6">
        <f t="shared" si="2"/>
        <v>40969</v>
      </c>
    </row>
    <row r="225">
      <c r="A225" s="2">
        <v>41000.0</v>
      </c>
      <c r="B225" s="3">
        <v>2012.0</v>
      </c>
      <c r="C225" s="3">
        <v>4.0</v>
      </c>
      <c r="D225" s="3" t="s">
        <v>8</v>
      </c>
      <c r="E225" s="3">
        <v>78.52</v>
      </c>
      <c r="F225" s="3">
        <v>97.37</v>
      </c>
      <c r="G225" s="3">
        <v>80.6</v>
      </c>
      <c r="H225" s="5" t="str">
        <f t="shared" si="1"/>
        <v>April 2012</v>
      </c>
      <c r="I225" s="6">
        <f t="shared" si="2"/>
        <v>41000</v>
      </c>
    </row>
    <row r="226">
      <c r="A226" s="2">
        <v>41030.0</v>
      </c>
      <c r="B226" s="3">
        <v>2012.0</v>
      </c>
      <c r="C226" s="3">
        <v>5.0</v>
      </c>
      <c r="D226" s="3" t="s">
        <v>8</v>
      </c>
      <c r="E226" s="3">
        <v>86.17</v>
      </c>
      <c r="F226" s="3">
        <v>108.46</v>
      </c>
      <c r="G226" s="3">
        <v>79.5</v>
      </c>
      <c r="H226" s="5" t="str">
        <f t="shared" si="1"/>
        <v>May 2012</v>
      </c>
      <c r="I226" s="6">
        <f t="shared" si="2"/>
        <v>41030</v>
      </c>
    </row>
    <row r="227">
      <c r="A227" s="2">
        <v>41061.0</v>
      </c>
      <c r="B227" s="3">
        <v>2012.0</v>
      </c>
      <c r="C227" s="3">
        <v>6.0</v>
      </c>
      <c r="D227" s="3" t="s">
        <v>8</v>
      </c>
      <c r="E227" s="3">
        <v>95.55</v>
      </c>
      <c r="F227" s="3">
        <v>120.12</v>
      </c>
      <c r="G227" s="3">
        <v>79.5</v>
      </c>
      <c r="H227" s="5" t="str">
        <f t="shared" si="1"/>
        <v>June 2012</v>
      </c>
      <c r="I227" s="6">
        <f t="shared" si="2"/>
        <v>41061</v>
      </c>
    </row>
    <row r="228">
      <c r="A228" s="2">
        <v>41091.0</v>
      </c>
      <c r="B228" s="3">
        <v>2012.0</v>
      </c>
      <c r="C228" s="3">
        <v>7.0</v>
      </c>
      <c r="D228" s="3" t="s">
        <v>8</v>
      </c>
      <c r="E228" s="3">
        <v>94.19</v>
      </c>
      <c r="F228" s="3">
        <v>115.94</v>
      </c>
      <c r="G228" s="3">
        <v>81.2</v>
      </c>
      <c r="H228" s="5" t="str">
        <f t="shared" si="1"/>
        <v>July 2012</v>
      </c>
      <c r="I228" s="6">
        <f t="shared" si="2"/>
        <v>41091</v>
      </c>
    </row>
    <row r="229">
      <c r="A229" s="2">
        <v>41122.0</v>
      </c>
      <c r="B229" s="3">
        <v>2012.0</v>
      </c>
      <c r="C229" s="3">
        <v>8.0</v>
      </c>
      <c r="D229" s="3" t="s">
        <v>8</v>
      </c>
      <c r="E229" s="3">
        <v>97.36</v>
      </c>
      <c r="F229" s="3">
        <v>120.95</v>
      </c>
      <c r="G229" s="3">
        <v>80.5</v>
      </c>
      <c r="H229" s="5" t="str">
        <f t="shared" si="1"/>
        <v>August 2012</v>
      </c>
      <c r="I229" s="6">
        <f t="shared" si="2"/>
        <v>41122</v>
      </c>
    </row>
    <row r="230">
      <c r="A230" s="2">
        <v>41153.0</v>
      </c>
      <c r="B230" s="3">
        <v>2012.0</v>
      </c>
      <c r="C230" s="3">
        <v>9.0</v>
      </c>
      <c r="D230" s="3" t="s">
        <v>8</v>
      </c>
      <c r="E230" s="3">
        <v>98.66</v>
      </c>
      <c r="F230" s="3">
        <v>122.93</v>
      </c>
      <c r="G230" s="3">
        <v>80.3</v>
      </c>
      <c r="H230" s="5" t="str">
        <f t="shared" si="1"/>
        <v>September 2012</v>
      </c>
      <c r="I230" s="6">
        <f t="shared" si="2"/>
        <v>41153</v>
      </c>
    </row>
    <row r="231">
      <c r="A231" s="4">
        <v>41183.0</v>
      </c>
      <c r="B231" s="3">
        <v>2012.0</v>
      </c>
      <c r="C231" s="3">
        <v>10.0</v>
      </c>
      <c r="D231" s="3" t="s">
        <v>8</v>
      </c>
      <c r="E231" s="3">
        <v>102.85</v>
      </c>
      <c r="F231" s="3">
        <v>125.25</v>
      </c>
      <c r="G231" s="3">
        <v>82.1</v>
      </c>
      <c r="H231" s="5" t="str">
        <f t="shared" si="1"/>
        <v>October 2012</v>
      </c>
      <c r="I231" s="6">
        <f t="shared" si="2"/>
        <v>41183</v>
      </c>
    </row>
    <row r="232">
      <c r="A232" s="4">
        <v>41214.0</v>
      </c>
      <c r="B232" s="3">
        <v>2012.0</v>
      </c>
      <c r="C232" s="3">
        <v>11.0</v>
      </c>
      <c r="D232" s="3" t="s">
        <v>8</v>
      </c>
      <c r="E232" s="3">
        <v>91.14</v>
      </c>
      <c r="F232" s="3">
        <v>116.17</v>
      </c>
      <c r="G232" s="3">
        <v>78.4</v>
      </c>
      <c r="H232" s="5" t="str">
        <f t="shared" si="1"/>
        <v>November 2012</v>
      </c>
      <c r="I232" s="6">
        <f t="shared" si="2"/>
        <v>41214</v>
      </c>
    </row>
    <row r="233">
      <c r="A233" s="4">
        <v>41244.0</v>
      </c>
      <c r="B233" s="3">
        <v>2012.0</v>
      </c>
      <c r="C233" s="3">
        <v>12.0</v>
      </c>
      <c r="D233" s="3" t="s">
        <v>8</v>
      </c>
      <c r="E233" s="3">
        <v>82.39</v>
      </c>
      <c r="F233" s="3">
        <v>99.95</v>
      </c>
      <c r="G233" s="3">
        <v>82.4</v>
      </c>
      <c r="H233" s="5" t="str">
        <f t="shared" si="1"/>
        <v>December 2012</v>
      </c>
      <c r="I233" s="6">
        <f t="shared" si="2"/>
        <v>41244</v>
      </c>
    </row>
    <row r="234">
      <c r="A234" s="2">
        <v>41275.0</v>
      </c>
      <c r="B234" s="3">
        <v>2013.0</v>
      </c>
      <c r="C234" s="3">
        <v>1.0</v>
      </c>
      <c r="D234" s="3" t="s">
        <v>8</v>
      </c>
      <c r="E234" s="3">
        <v>76.95</v>
      </c>
      <c r="F234" s="3">
        <v>91.81</v>
      </c>
      <c r="G234" s="3">
        <v>83.8</v>
      </c>
      <c r="H234" s="5" t="str">
        <f t="shared" si="1"/>
        <v>January 2013</v>
      </c>
      <c r="I234" s="6">
        <f t="shared" si="2"/>
        <v>41275</v>
      </c>
    </row>
    <row r="235">
      <c r="A235" s="2">
        <v>41306.0</v>
      </c>
      <c r="B235" s="3">
        <v>2013.0</v>
      </c>
      <c r="C235" s="3">
        <v>2.0</v>
      </c>
      <c r="D235" s="3" t="s">
        <v>8</v>
      </c>
      <c r="E235" s="3">
        <v>75.07</v>
      </c>
      <c r="F235" s="3">
        <v>92.2</v>
      </c>
      <c r="G235" s="3">
        <v>81.4</v>
      </c>
      <c r="H235" s="5" t="str">
        <f t="shared" si="1"/>
        <v>February 2013</v>
      </c>
      <c r="I235" s="6">
        <f t="shared" si="2"/>
        <v>41306</v>
      </c>
    </row>
    <row r="236">
      <c r="A236" s="2">
        <v>41334.0</v>
      </c>
      <c r="B236" s="3">
        <v>2013.0</v>
      </c>
      <c r="C236" s="3">
        <v>3.0</v>
      </c>
      <c r="D236" s="3" t="s">
        <v>8</v>
      </c>
      <c r="E236" s="3">
        <v>78.6</v>
      </c>
      <c r="F236" s="3">
        <v>95.47</v>
      </c>
      <c r="G236" s="3">
        <v>82.3</v>
      </c>
      <c r="H236" s="5" t="str">
        <f t="shared" si="1"/>
        <v>March 2013</v>
      </c>
      <c r="I236" s="6">
        <f t="shared" si="2"/>
        <v>41334</v>
      </c>
    </row>
    <row r="237">
      <c r="A237" s="2">
        <v>41365.0</v>
      </c>
      <c r="B237" s="3">
        <v>2013.0</v>
      </c>
      <c r="C237" s="3">
        <v>4.0</v>
      </c>
      <c r="D237" s="3" t="s">
        <v>8</v>
      </c>
      <c r="E237" s="3">
        <v>83.75</v>
      </c>
      <c r="F237" s="3">
        <v>102.82</v>
      </c>
      <c r="G237" s="3">
        <v>81.5</v>
      </c>
      <c r="H237" s="5" t="str">
        <f t="shared" si="1"/>
        <v>April 2013</v>
      </c>
      <c r="I237" s="6">
        <f t="shared" si="2"/>
        <v>41365</v>
      </c>
    </row>
    <row r="238">
      <c r="A238" s="2">
        <v>41395.0</v>
      </c>
      <c r="B238" s="3">
        <v>2013.0</v>
      </c>
      <c r="C238" s="3">
        <v>5.0</v>
      </c>
      <c r="D238" s="3" t="s">
        <v>8</v>
      </c>
      <c r="E238" s="3">
        <v>92.01</v>
      </c>
      <c r="F238" s="3">
        <v>114.26</v>
      </c>
      <c r="G238" s="3">
        <v>80.5</v>
      </c>
      <c r="H238" s="5" t="str">
        <f t="shared" si="1"/>
        <v>May 2013</v>
      </c>
      <c r="I238" s="6">
        <f t="shared" si="2"/>
        <v>41395</v>
      </c>
    </row>
    <row r="239">
      <c r="A239" s="2">
        <v>41426.0</v>
      </c>
      <c r="B239" s="3">
        <v>2013.0</v>
      </c>
      <c r="C239" s="3">
        <v>6.0</v>
      </c>
      <c r="D239" s="3" t="s">
        <v>8</v>
      </c>
      <c r="E239" s="3">
        <v>101.48</v>
      </c>
      <c r="F239" s="3">
        <v>123.04</v>
      </c>
      <c r="G239" s="3">
        <v>82.5</v>
      </c>
      <c r="H239" s="5" t="str">
        <f t="shared" si="1"/>
        <v>June 2013</v>
      </c>
      <c r="I239" s="6">
        <f t="shared" si="2"/>
        <v>41426</v>
      </c>
    </row>
    <row r="240">
      <c r="A240" s="2">
        <v>41456.0</v>
      </c>
      <c r="B240" s="3">
        <v>2013.0</v>
      </c>
      <c r="C240" s="3">
        <v>7.0</v>
      </c>
      <c r="D240" s="3" t="s">
        <v>8</v>
      </c>
      <c r="E240" s="3">
        <v>105.25</v>
      </c>
      <c r="F240" s="3">
        <v>129.72</v>
      </c>
      <c r="G240" s="3">
        <v>81.1</v>
      </c>
      <c r="H240" s="5" t="str">
        <f t="shared" si="1"/>
        <v>July 2013</v>
      </c>
      <c r="I240" s="6">
        <f t="shared" si="2"/>
        <v>41456</v>
      </c>
    </row>
    <row r="241">
      <c r="A241" s="2">
        <v>41487.0</v>
      </c>
      <c r="B241" s="3">
        <v>2013.0</v>
      </c>
      <c r="C241" s="3">
        <v>8.0</v>
      </c>
      <c r="D241" s="3" t="s">
        <v>8</v>
      </c>
      <c r="E241" s="3">
        <v>110.44</v>
      </c>
      <c r="F241" s="3">
        <v>135.46</v>
      </c>
      <c r="G241" s="3">
        <v>81.5</v>
      </c>
      <c r="H241" s="5" t="str">
        <f t="shared" si="1"/>
        <v>August 2013</v>
      </c>
      <c r="I241" s="6">
        <f t="shared" si="2"/>
        <v>41487</v>
      </c>
    </row>
    <row r="242">
      <c r="A242" s="2">
        <v>41518.0</v>
      </c>
      <c r="B242" s="3">
        <v>2013.0</v>
      </c>
      <c r="C242" s="3">
        <v>9.0</v>
      </c>
      <c r="D242" s="3" t="s">
        <v>8</v>
      </c>
      <c r="E242" s="3">
        <v>105.39</v>
      </c>
      <c r="F242" s="3">
        <v>128.19</v>
      </c>
      <c r="G242" s="3">
        <v>82.2</v>
      </c>
      <c r="H242" s="5" t="str">
        <f t="shared" si="1"/>
        <v>September 2013</v>
      </c>
      <c r="I242" s="6">
        <f t="shared" si="2"/>
        <v>41518</v>
      </c>
    </row>
    <row r="243">
      <c r="A243" s="4">
        <v>41548.0</v>
      </c>
      <c r="B243" s="3">
        <v>2013.0</v>
      </c>
      <c r="C243" s="3">
        <v>10.0</v>
      </c>
      <c r="D243" s="3" t="s">
        <v>8</v>
      </c>
      <c r="E243" s="3">
        <v>106.89</v>
      </c>
      <c r="F243" s="3">
        <v>134.76</v>
      </c>
      <c r="G243" s="3">
        <v>79.3</v>
      </c>
      <c r="H243" s="5" t="str">
        <f t="shared" si="1"/>
        <v>October 2013</v>
      </c>
      <c r="I243" s="6">
        <f t="shared" si="2"/>
        <v>41548</v>
      </c>
    </row>
    <row r="244">
      <c r="A244" s="4">
        <v>41579.0</v>
      </c>
      <c r="B244" s="3">
        <v>2013.0</v>
      </c>
      <c r="C244" s="3">
        <v>11.0</v>
      </c>
      <c r="D244" s="3" t="s">
        <v>8</v>
      </c>
      <c r="E244" s="3">
        <v>97.08</v>
      </c>
      <c r="F244" s="3">
        <v>124.13</v>
      </c>
      <c r="G244" s="3">
        <v>78.2</v>
      </c>
      <c r="H244" s="5" t="str">
        <f t="shared" si="1"/>
        <v>November 2013</v>
      </c>
      <c r="I244" s="6">
        <f t="shared" si="2"/>
        <v>41579</v>
      </c>
    </row>
    <row r="245">
      <c r="A245" s="4">
        <v>41609.0</v>
      </c>
      <c r="B245" s="3">
        <v>2013.0</v>
      </c>
      <c r="C245" s="3">
        <v>12.0</v>
      </c>
      <c r="D245" s="3" t="s">
        <v>8</v>
      </c>
      <c r="E245" s="3">
        <v>88.67</v>
      </c>
      <c r="F245" s="3">
        <v>104.13</v>
      </c>
      <c r="G245" s="3">
        <v>85.2</v>
      </c>
      <c r="H245" s="5" t="str">
        <f t="shared" si="1"/>
        <v>December 2013</v>
      </c>
      <c r="I245" s="6">
        <f t="shared" si="2"/>
        <v>41609</v>
      </c>
    </row>
    <row r="246">
      <c r="A246" s="2">
        <v>41640.0</v>
      </c>
      <c r="B246" s="3">
        <v>2014.0</v>
      </c>
      <c r="C246" s="3">
        <v>1.0</v>
      </c>
      <c r="D246" s="3" t="s">
        <v>8</v>
      </c>
      <c r="E246" s="3">
        <v>84.41</v>
      </c>
      <c r="F246" s="3">
        <v>102.51</v>
      </c>
      <c r="G246" s="3">
        <v>82.3</v>
      </c>
      <c r="H246" s="5" t="str">
        <f t="shared" si="1"/>
        <v>January 2014</v>
      </c>
      <c r="I246" s="6">
        <f t="shared" si="2"/>
        <v>41640</v>
      </c>
    </row>
    <row r="247">
      <c r="A247" s="2">
        <v>41671.0</v>
      </c>
      <c r="B247" s="3">
        <v>2014.0</v>
      </c>
      <c r="C247" s="3">
        <v>2.0</v>
      </c>
      <c r="D247" s="3" t="s">
        <v>8</v>
      </c>
      <c r="E247" s="3">
        <v>80.21</v>
      </c>
      <c r="F247" s="3">
        <v>97.75</v>
      </c>
      <c r="G247" s="3">
        <v>82.1</v>
      </c>
      <c r="H247" s="5" t="str">
        <f t="shared" si="1"/>
        <v>February 2014</v>
      </c>
      <c r="I247" s="6">
        <f t="shared" si="2"/>
        <v>41671</v>
      </c>
    </row>
    <row r="248">
      <c r="A248" s="2">
        <v>41699.0</v>
      </c>
      <c r="B248" s="3">
        <v>2014.0</v>
      </c>
      <c r="C248" s="3">
        <v>3.0</v>
      </c>
      <c r="D248" s="3" t="s">
        <v>8</v>
      </c>
      <c r="E248" s="3">
        <v>83.19</v>
      </c>
      <c r="F248" s="3">
        <v>103.43</v>
      </c>
      <c r="G248" s="3">
        <v>80.4</v>
      </c>
      <c r="H248" s="5" t="str">
        <f t="shared" si="1"/>
        <v>March 2014</v>
      </c>
      <c r="I248" s="6">
        <f t="shared" si="2"/>
        <v>41699</v>
      </c>
    </row>
    <row r="249">
      <c r="A249" s="2">
        <v>41730.0</v>
      </c>
      <c r="B249" s="3">
        <v>2014.0</v>
      </c>
      <c r="C249" s="3">
        <v>4.0</v>
      </c>
      <c r="D249" s="3" t="s">
        <v>8</v>
      </c>
      <c r="E249" s="3">
        <v>88.67</v>
      </c>
      <c r="F249" s="3">
        <v>107.62</v>
      </c>
      <c r="G249" s="3">
        <v>82.4</v>
      </c>
      <c r="H249" s="5" t="str">
        <f t="shared" si="1"/>
        <v>April 2014</v>
      </c>
      <c r="I249" s="6">
        <f t="shared" si="2"/>
        <v>41730</v>
      </c>
    </row>
    <row r="250">
      <c r="A250" s="2">
        <v>41760.0</v>
      </c>
      <c r="B250" s="3">
        <v>2014.0</v>
      </c>
      <c r="C250" s="3">
        <v>5.0</v>
      </c>
      <c r="D250" s="3" t="s">
        <v>8</v>
      </c>
      <c r="E250" s="3">
        <v>94.86</v>
      </c>
      <c r="F250" s="3">
        <v>118.0</v>
      </c>
      <c r="G250" s="3">
        <v>80.4</v>
      </c>
      <c r="H250" s="5" t="str">
        <f t="shared" si="1"/>
        <v>May 2014</v>
      </c>
      <c r="I250" s="6">
        <f t="shared" si="2"/>
        <v>41760</v>
      </c>
    </row>
    <row r="251">
      <c r="A251" s="2">
        <v>41791.0</v>
      </c>
      <c r="B251" s="3">
        <v>2014.0</v>
      </c>
      <c r="C251" s="3">
        <v>6.0</v>
      </c>
      <c r="D251" s="3" t="s">
        <v>8</v>
      </c>
      <c r="E251" s="3">
        <v>100.55</v>
      </c>
      <c r="F251" s="3">
        <v>121.47</v>
      </c>
      <c r="G251" s="3">
        <v>82.8</v>
      </c>
      <c r="H251" s="5" t="str">
        <f t="shared" si="1"/>
        <v>June 2014</v>
      </c>
      <c r="I251" s="6">
        <f t="shared" si="2"/>
        <v>41791</v>
      </c>
    </row>
    <row r="252">
      <c r="A252" s="2">
        <v>41821.0</v>
      </c>
      <c r="B252" s="3">
        <v>2014.0</v>
      </c>
      <c r="C252" s="3">
        <v>7.0</v>
      </c>
      <c r="D252" s="3" t="s">
        <v>8</v>
      </c>
      <c r="E252" s="3">
        <v>112.33</v>
      </c>
      <c r="F252" s="3">
        <v>136.21</v>
      </c>
      <c r="G252" s="3">
        <v>82.5</v>
      </c>
      <c r="H252" s="5" t="str">
        <f t="shared" si="1"/>
        <v>July 2014</v>
      </c>
      <c r="I252" s="6">
        <f t="shared" si="2"/>
        <v>41821</v>
      </c>
    </row>
    <row r="253">
      <c r="A253" s="2">
        <v>41852.0</v>
      </c>
      <c r="B253" s="3">
        <v>2014.0</v>
      </c>
      <c r="C253" s="3">
        <v>8.0</v>
      </c>
      <c r="D253" s="3" t="s">
        <v>8</v>
      </c>
      <c r="E253" s="3">
        <v>116.21</v>
      </c>
      <c r="F253" s="3">
        <v>141.41</v>
      </c>
      <c r="G253" s="3">
        <v>82.2</v>
      </c>
      <c r="H253" s="5" t="str">
        <f t="shared" si="1"/>
        <v>August 2014</v>
      </c>
      <c r="I253" s="6">
        <f t="shared" si="2"/>
        <v>41852</v>
      </c>
    </row>
    <row r="254">
      <c r="A254" s="2">
        <v>41883.0</v>
      </c>
      <c r="B254" s="3">
        <v>2014.0</v>
      </c>
      <c r="C254" s="3">
        <v>9.0</v>
      </c>
      <c r="D254" s="3" t="s">
        <v>8</v>
      </c>
      <c r="E254" s="3">
        <v>112.65</v>
      </c>
      <c r="F254" s="3">
        <v>136.37</v>
      </c>
      <c r="G254" s="3">
        <v>82.6</v>
      </c>
      <c r="H254" s="5" t="str">
        <f t="shared" si="1"/>
        <v>September 2014</v>
      </c>
      <c r="I254" s="6">
        <f t="shared" si="2"/>
        <v>41883</v>
      </c>
    </row>
    <row r="255">
      <c r="A255" s="4">
        <v>41913.0</v>
      </c>
      <c r="B255" s="3">
        <v>2014.0</v>
      </c>
      <c r="C255" s="3">
        <v>10.0</v>
      </c>
      <c r="D255" s="3" t="s">
        <v>8</v>
      </c>
      <c r="E255" s="3">
        <v>106.03</v>
      </c>
      <c r="F255" s="3">
        <v>131.0</v>
      </c>
      <c r="G255" s="3">
        <v>80.9</v>
      </c>
      <c r="H255" s="5" t="str">
        <f t="shared" si="1"/>
        <v>October 2014</v>
      </c>
      <c r="I255" s="6">
        <f t="shared" si="2"/>
        <v>41913</v>
      </c>
    </row>
    <row r="256">
      <c r="A256" s="4">
        <v>41944.0</v>
      </c>
      <c r="B256" s="3">
        <v>2014.0</v>
      </c>
      <c r="C256" s="3">
        <v>11.0</v>
      </c>
      <c r="D256" s="3" t="s">
        <v>8</v>
      </c>
      <c r="E256" s="3">
        <v>106.08</v>
      </c>
      <c r="F256" s="3">
        <v>130.81</v>
      </c>
      <c r="G256" s="3">
        <v>81.1</v>
      </c>
      <c r="H256" s="5" t="str">
        <f t="shared" si="1"/>
        <v>November 2014</v>
      </c>
      <c r="I256" s="6">
        <f t="shared" si="2"/>
        <v>41944</v>
      </c>
    </row>
    <row r="257">
      <c r="A257" s="4">
        <v>41974.0</v>
      </c>
      <c r="B257" s="3">
        <v>2014.0</v>
      </c>
      <c r="C257" s="3">
        <v>12.0</v>
      </c>
      <c r="D257" s="3" t="s">
        <v>8</v>
      </c>
      <c r="E257" s="3">
        <v>90.34</v>
      </c>
      <c r="F257" s="3">
        <v>109.01</v>
      </c>
      <c r="G257" s="3">
        <v>82.9</v>
      </c>
      <c r="H257" s="5" t="str">
        <f t="shared" si="1"/>
        <v>December 2014</v>
      </c>
      <c r="I257" s="6">
        <f t="shared" si="2"/>
        <v>41974</v>
      </c>
    </row>
    <row r="258">
      <c r="A258" s="2">
        <v>42005.0</v>
      </c>
      <c r="B258" s="3">
        <v>2015.0</v>
      </c>
      <c r="C258" s="3">
        <v>1.0</v>
      </c>
      <c r="D258" s="3" t="s">
        <v>8</v>
      </c>
      <c r="E258" s="3">
        <v>87.67</v>
      </c>
      <c r="F258" s="3">
        <v>110.71</v>
      </c>
      <c r="G258" s="3">
        <v>79.2</v>
      </c>
      <c r="H258" s="5" t="str">
        <f t="shared" si="1"/>
        <v>January 2015</v>
      </c>
      <c r="I258" s="6">
        <f t="shared" si="2"/>
        <v>42005</v>
      </c>
    </row>
    <row r="259">
      <c r="A259" s="2">
        <v>42036.0</v>
      </c>
      <c r="B259" s="3">
        <v>2015.0</v>
      </c>
      <c r="C259" s="3">
        <v>2.0</v>
      </c>
      <c r="D259" s="3" t="s">
        <v>8</v>
      </c>
      <c r="E259" s="3">
        <v>88.35</v>
      </c>
      <c r="F259" s="3">
        <v>107.99</v>
      </c>
      <c r="G259" s="3">
        <v>81.8</v>
      </c>
      <c r="H259" s="5" t="str">
        <f t="shared" si="1"/>
        <v>February 2015</v>
      </c>
      <c r="I259" s="6">
        <f t="shared" si="2"/>
        <v>42036</v>
      </c>
    </row>
    <row r="260">
      <c r="A260" s="2">
        <v>42064.0</v>
      </c>
      <c r="B260" s="3">
        <v>2015.0</v>
      </c>
      <c r="C260" s="3">
        <v>3.0</v>
      </c>
      <c r="D260" s="3" t="s">
        <v>8</v>
      </c>
      <c r="E260" s="3">
        <v>85.0</v>
      </c>
      <c r="F260" s="3">
        <v>100.74</v>
      </c>
      <c r="G260" s="3">
        <v>84.4</v>
      </c>
      <c r="H260" s="5" t="str">
        <f t="shared" si="1"/>
        <v>March 2015</v>
      </c>
      <c r="I260" s="6">
        <f t="shared" si="2"/>
        <v>42064</v>
      </c>
    </row>
    <row r="261">
      <c r="A261" s="2">
        <v>42095.0</v>
      </c>
      <c r="B261" s="3">
        <v>2015.0</v>
      </c>
      <c r="C261" s="3">
        <v>4.0</v>
      </c>
      <c r="D261" s="3" t="s">
        <v>8</v>
      </c>
      <c r="E261" s="3">
        <v>95.67</v>
      </c>
      <c r="F261" s="3">
        <v>120.38</v>
      </c>
      <c r="G261" s="3">
        <v>79.5</v>
      </c>
      <c r="H261" s="5" t="str">
        <f t="shared" si="1"/>
        <v>April 2015</v>
      </c>
      <c r="I261" s="6">
        <f t="shared" si="2"/>
        <v>42095</v>
      </c>
    </row>
    <row r="262">
      <c r="A262" s="2">
        <v>42125.0</v>
      </c>
      <c r="B262" s="3">
        <v>2015.0</v>
      </c>
      <c r="C262" s="3">
        <v>5.0</v>
      </c>
      <c r="D262" s="3" t="s">
        <v>8</v>
      </c>
      <c r="E262" s="3">
        <v>107.59</v>
      </c>
      <c r="F262" s="3">
        <v>129.13</v>
      </c>
      <c r="G262" s="3">
        <v>83.3</v>
      </c>
      <c r="H262" s="5" t="str">
        <f t="shared" si="1"/>
        <v>May 2015</v>
      </c>
      <c r="I262" s="6">
        <f t="shared" si="2"/>
        <v>42125</v>
      </c>
    </row>
    <row r="263">
      <c r="A263" s="2">
        <v>42156.0</v>
      </c>
      <c r="B263" s="3">
        <v>2015.0</v>
      </c>
      <c r="C263" s="3">
        <v>6.0</v>
      </c>
      <c r="D263" s="3" t="s">
        <v>8</v>
      </c>
      <c r="E263" s="3">
        <v>110.15</v>
      </c>
      <c r="F263" s="3">
        <v>129.32</v>
      </c>
      <c r="G263" s="3">
        <v>85.2</v>
      </c>
      <c r="H263" s="5" t="str">
        <f t="shared" si="1"/>
        <v>June 2015</v>
      </c>
      <c r="I263" s="6">
        <f t="shared" si="2"/>
        <v>42156</v>
      </c>
    </row>
    <row r="264">
      <c r="A264" s="2">
        <v>42186.0</v>
      </c>
      <c r="B264" s="3">
        <v>2015.0</v>
      </c>
      <c r="C264" s="3">
        <v>7.0</v>
      </c>
      <c r="D264" s="3" t="s">
        <v>8</v>
      </c>
      <c r="E264" s="3">
        <v>116.94</v>
      </c>
      <c r="F264" s="3">
        <v>142.7</v>
      </c>
      <c r="G264" s="3">
        <v>81.9</v>
      </c>
      <c r="H264" s="5" t="str">
        <f t="shared" si="1"/>
        <v>July 2015</v>
      </c>
      <c r="I264" s="6">
        <f t="shared" si="2"/>
        <v>42186</v>
      </c>
    </row>
    <row r="265">
      <c r="A265" s="2">
        <v>42217.0</v>
      </c>
      <c r="B265" s="3">
        <v>2015.0</v>
      </c>
      <c r="C265" s="3">
        <v>8.0</v>
      </c>
      <c r="D265" s="3" t="s">
        <v>8</v>
      </c>
      <c r="E265" s="3">
        <v>116.69</v>
      </c>
      <c r="F265" s="3">
        <v>140.31</v>
      </c>
      <c r="G265" s="3">
        <v>83.2</v>
      </c>
      <c r="H265" s="5" t="str">
        <f t="shared" si="1"/>
        <v>August 2015</v>
      </c>
      <c r="I265" s="6">
        <f t="shared" si="2"/>
        <v>42217</v>
      </c>
    </row>
    <row r="266">
      <c r="A266" s="2">
        <v>42248.0</v>
      </c>
      <c r="B266" s="3">
        <v>2015.0</v>
      </c>
      <c r="C266" s="3">
        <v>9.0</v>
      </c>
      <c r="D266" s="3" t="s">
        <v>8</v>
      </c>
      <c r="E266" s="3">
        <v>119.2</v>
      </c>
      <c r="F266" s="3">
        <v>145.32</v>
      </c>
      <c r="G266" s="3">
        <v>82.0</v>
      </c>
      <c r="H266" s="5" t="str">
        <f t="shared" si="1"/>
        <v>September 2015</v>
      </c>
      <c r="I266" s="6">
        <f t="shared" si="2"/>
        <v>42248</v>
      </c>
    </row>
    <row r="267">
      <c r="A267" s="4">
        <v>42278.0</v>
      </c>
      <c r="B267" s="3">
        <v>2015.0</v>
      </c>
      <c r="C267" s="3">
        <v>10.0</v>
      </c>
      <c r="D267" s="3" t="s">
        <v>8</v>
      </c>
      <c r="E267" s="3">
        <v>109.71</v>
      </c>
      <c r="F267" s="3">
        <v>133.37</v>
      </c>
      <c r="G267" s="3">
        <v>82.3</v>
      </c>
      <c r="H267" s="5" t="str">
        <f t="shared" si="1"/>
        <v>October 2015</v>
      </c>
      <c r="I267" s="6">
        <f t="shared" si="2"/>
        <v>42278</v>
      </c>
    </row>
    <row r="268">
      <c r="A268" s="4">
        <v>42309.0</v>
      </c>
      <c r="B268" s="3">
        <v>2015.0</v>
      </c>
      <c r="C268" s="3">
        <v>11.0</v>
      </c>
      <c r="D268" s="3" t="s">
        <v>8</v>
      </c>
      <c r="E268" s="3">
        <v>104.78</v>
      </c>
      <c r="F268" s="3">
        <v>132.08</v>
      </c>
      <c r="G268" s="3">
        <v>79.3</v>
      </c>
      <c r="H268" s="5" t="str">
        <f t="shared" si="1"/>
        <v>November 2015</v>
      </c>
      <c r="I268" s="6">
        <f t="shared" si="2"/>
        <v>42309</v>
      </c>
    </row>
    <row r="269">
      <c r="A269" s="4">
        <v>42339.0</v>
      </c>
      <c r="B269" s="3">
        <v>2015.0</v>
      </c>
      <c r="C269" s="3">
        <v>12.0</v>
      </c>
      <c r="D269" s="3" t="s">
        <v>8</v>
      </c>
      <c r="E269" s="3">
        <v>93.37</v>
      </c>
      <c r="F269" s="3">
        <v>112.32</v>
      </c>
      <c r="G269" s="3">
        <v>83.1</v>
      </c>
      <c r="H269" s="5" t="str">
        <f t="shared" si="1"/>
        <v>December 2015</v>
      </c>
      <c r="I269" s="6">
        <f t="shared" si="2"/>
        <v>42339</v>
      </c>
    </row>
    <row r="270">
      <c r="A270" s="2">
        <v>42370.0</v>
      </c>
      <c r="B270" s="3">
        <v>2016.0</v>
      </c>
      <c r="C270" s="3">
        <v>1.0</v>
      </c>
      <c r="D270" s="3" t="s">
        <v>8</v>
      </c>
      <c r="E270" s="3">
        <v>85.3</v>
      </c>
      <c r="F270" s="3">
        <v>103.51</v>
      </c>
      <c r="G270" s="3">
        <v>82.4</v>
      </c>
      <c r="H270" s="5" t="str">
        <f t="shared" si="1"/>
        <v>January 2016</v>
      </c>
      <c r="I270" s="6">
        <f t="shared" si="2"/>
        <v>42370</v>
      </c>
    </row>
    <row r="271">
      <c r="A271" s="2">
        <v>42401.0</v>
      </c>
      <c r="B271" s="3">
        <v>2016.0</v>
      </c>
      <c r="C271" s="3">
        <v>2.0</v>
      </c>
      <c r="D271" s="3" t="s">
        <v>8</v>
      </c>
      <c r="E271" s="3">
        <v>89.24</v>
      </c>
      <c r="F271" s="3">
        <v>105.46</v>
      </c>
      <c r="G271" s="3">
        <v>84.6</v>
      </c>
      <c r="H271" s="5" t="str">
        <f t="shared" si="1"/>
        <v>February 2016</v>
      </c>
      <c r="I271" s="6">
        <f t="shared" si="2"/>
        <v>42401</v>
      </c>
    </row>
    <row r="272">
      <c r="A272" s="2">
        <v>42430.0</v>
      </c>
      <c r="B272" s="3">
        <v>2016.0</v>
      </c>
      <c r="C272" s="3">
        <v>3.0</v>
      </c>
      <c r="D272" s="3" t="s">
        <v>8</v>
      </c>
      <c r="E272" s="3">
        <v>91.73</v>
      </c>
      <c r="F272" s="3">
        <v>110.1</v>
      </c>
      <c r="G272" s="3">
        <v>83.3</v>
      </c>
      <c r="H272" s="5" t="str">
        <f t="shared" si="1"/>
        <v>March 2016</v>
      </c>
      <c r="I272" s="6">
        <f t="shared" si="2"/>
        <v>42430</v>
      </c>
    </row>
    <row r="273">
      <c r="A273" s="2">
        <v>42461.0</v>
      </c>
      <c r="B273" s="3">
        <v>2016.0</v>
      </c>
      <c r="C273" s="3">
        <v>4.0</v>
      </c>
      <c r="D273" s="3" t="s">
        <v>8</v>
      </c>
      <c r="E273" s="3">
        <v>98.26</v>
      </c>
      <c r="F273" s="3">
        <v>119.5</v>
      </c>
      <c r="G273" s="3">
        <v>82.2</v>
      </c>
      <c r="H273" s="5" t="str">
        <f t="shared" si="1"/>
        <v>April 2016</v>
      </c>
      <c r="I273" s="6">
        <f t="shared" si="2"/>
        <v>42461</v>
      </c>
    </row>
    <row r="274">
      <c r="A274" s="2">
        <v>42491.0</v>
      </c>
      <c r="B274" s="3">
        <v>2016.0</v>
      </c>
      <c r="C274" s="3">
        <v>5.0</v>
      </c>
      <c r="D274" s="3" t="s">
        <v>8</v>
      </c>
      <c r="E274" s="3">
        <v>110.41</v>
      </c>
      <c r="F274" s="3">
        <v>136.19</v>
      </c>
      <c r="G274" s="3">
        <v>81.1</v>
      </c>
      <c r="H274" s="5" t="str">
        <f t="shared" si="1"/>
        <v>May 2016</v>
      </c>
      <c r="I274" s="6">
        <f t="shared" si="2"/>
        <v>42491</v>
      </c>
    </row>
    <row r="275">
      <c r="A275" s="2">
        <v>42522.0</v>
      </c>
      <c r="B275" s="3">
        <v>2016.0</v>
      </c>
      <c r="C275" s="3">
        <v>6.0</v>
      </c>
      <c r="D275" s="3" t="s">
        <v>8</v>
      </c>
      <c r="E275" s="3">
        <v>120.18</v>
      </c>
      <c r="F275" s="3">
        <v>150.2</v>
      </c>
      <c r="G275" s="3">
        <v>80.0</v>
      </c>
      <c r="H275" s="5" t="str">
        <f t="shared" si="1"/>
        <v>June 2016</v>
      </c>
      <c r="I275" s="6">
        <f t="shared" si="2"/>
        <v>42522</v>
      </c>
    </row>
    <row r="276">
      <c r="A276" s="2">
        <v>42552.0</v>
      </c>
      <c r="B276" s="3">
        <v>2016.0</v>
      </c>
      <c r="C276" s="3">
        <v>7.0</v>
      </c>
      <c r="D276" s="3" t="s">
        <v>8</v>
      </c>
      <c r="E276" s="3">
        <v>124.25</v>
      </c>
      <c r="F276" s="3">
        <v>148.19</v>
      </c>
      <c r="G276" s="3">
        <v>83.8</v>
      </c>
      <c r="H276" s="5" t="str">
        <f t="shared" si="1"/>
        <v>July 2016</v>
      </c>
      <c r="I276" s="6">
        <f t="shared" si="2"/>
        <v>42552</v>
      </c>
    </row>
    <row r="277">
      <c r="A277" s="2">
        <v>42583.0</v>
      </c>
      <c r="B277" s="3">
        <v>2016.0</v>
      </c>
      <c r="C277" s="3">
        <v>8.0</v>
      </c>
      <c r="D277" s="3" t="s">
        <v>8</v>
      </c>
      <c r="E277" s="3">
        <v>128.44</v>
      </c>
      <c r="F277" s="3">
        <v>149.64</v>
      </c>
      <c r="G277" s="3">
        <v>85.8</v>
      </c>
      <c r="H277" s="5" t="str">
        <f t="shared" si="1"/>
        <v>August 2016</v>
      </c>
      <c r="I277" s="6">
        <f t="shared" si="2"/>
        <v>42583</v>
      </c>
    </row>
    <row r="278">
      <c r="A278" s="2">
        <v>42614.0</v>
      </c>
      <c r="B278" s="3">
        <v>2016.0</v>
      </c>
      <c r="C278" s="3">
        <v>9.0</v>
      </c>
      <c r="D278" s="3" t="s">
        <v>8</v>
      </c>
      <c r="E278" s="3">
        <v>121.48</v>
      </c>
      <c r="F278" s="3">
        <v>153.3</v>
      </c>
      <c r="G278" s="3">
        <v>79.2</v>
      </c>
      <c r="H278" s="5" t="str">
        <f t="shared" si="1"/>
        <v>September 2016</v>
      </c>
      <c r="I278" s="6">
        <f t="shared" si="2"/>
        <v>42614</v>
      </c>
    </row>
    <row r="279">
      <c r="A279" s="4">
        <v>42644.0</v>
      </c>
      <c r="B279" s="3">
        <v>2016.0</v>
      </c>
      <c r="C279" s="3">
        <v>10.0</v>
      </c>
      <c r="D279" s="3" t="s">
        <v>8</v>
      </c>
      <c r="E279" s="3">
        <v>115.3</v>
      </c>
      <c r="F279" s="3">
        <v>138.38</v>
      </c>
      <c r="G279" s="3">
        <v>83.3</v>
      </c>
      <c r="H279" s="5" t="str">
        <f t="shared" si="1"/>
        <v>October 2016</v>
      </c>
      <c r="I279" s="6">
        <f t="shared" si="2"/>
        <v>42644</v>
      </c>
    </row>
    <row r="280">
      <c r="A280" s="4">
        <v>42675.0</v>
      </c>
      <c r="B280" s="3">
        <v>2016.0</v>
      </c>
      <c r="C280" s="3">
        <v>11.0</v>
      </c>
      <c r="D280" s="3" t="s">
        <v>8</v>
      </c>
      <c r="E280" s="3">
        <v>112.67</v>
      </c>
      <c r="F280" s="3">
        <v>137.06</v>
      </c>
      <c r="G280" s="3">
        <v>82.2</v>
      </c>
      <c r="H280" s="5" t="str">
        <f t="shared" si="1"/>
        <v>November 2016</v>
      </c>
      <c r="I280" s="6">
        <f t="shared" si="2"/>
        <v>42675</v>
      </c>
    </row>
    <row r="281">
      <c r="A281" s="4">
        <v>42705.0</v>
      </c>
      <c r="B281" s="3">
        <v>2016.0</v>
      </c>
      <c r="C281" s="3">
        <v>12.0</v>
      </c>
      <c r="D281" s="3" t="s">
        <v>8</v>
      </c>
      <c r="E281" s="3">
        <v>99.72</v>
      </c>
      <c r="F281" s="3">
        <v>119.38</v>
      </c>
      <c r="G281" s="3">
        <v>83.5</v>
      </c>
      <c r="H281" s="5" t="str">
        <f t="shared" si="1"/>
        <v>December 2016</v>
      </c>
      <c r="I281" s="6">
        <f t="shared" si="2"/>
        <v>42705</v>
      </c>
    </row>
    <row r="282">
      <c r="A282" s="2">
        <v>42736.0</v>
      </c>
      <c r="B282" s="3">
        <v>2017.0</v>
      </c>
      <c r="C282" s="3">
        <v>1.0</v>
      </c>
      <c r="D282" s="3" t="s">
        <v>8</v>
      </c>
      <c r="E282" s="3">
        <v>93.94</v>
      </c>
      <c r="F282" s="3">
        <v>111.41</v>
      </c>
      <c r="G282" s="3">
        <v>84.3</v>
      </c>
      <c r="H282" s="5" t="str">
        <f t="shared" si="1"/>
        <v>January 2017</v>
      </c>
      <c r="I282" s="6">
        <f t="shared" si="2"/>
        <v>42736</v>
      </c>
    </row>
    <row r="283">
      <c r="A283" s="2">
        <v>42767.0</v>
      </c>
      <c r="B283" s="3">
        <v>2017.0</v>
      </c>
      <c r="C283" s="3">
        <v>2.0</v>
      </c>
      <c r="D283" s="3" t="s">
        <v>8</v>
      </c>
      <c r="E283" s="3">
        <v>104.18</v>
      </c>
      <c r="F283" s="3">
        <v>125.93</v>
      </c>
      <c r="G283" s="3">
        <v>82.7</v>
      </c>
      <c r="H283" s="5" t="str">
        <f t="shared" si="1"/>
        <v>February 2017</v>
      </c>
      <c r="I283" s="6">
        <f t="shared" si="2"/>
        <v>42767</v>
      </c>
    </row>
    <row r="284">
      <c r="A284" s="2">
        <v>42795.0</v>
      </c>
      <c r="B284" s="3">
        <v>2017.0</v>
      </c>
      <c r="C284" s="3">
        <v>3.0</v>
      </c>
      <c r="D284" s="3" t="s">
        <v>8</v>
      </c>
      <c r="E284" s="3">
        <v>100.06</v>
      </c>
      <c r="F284" s="3">
        <v>123.5</v>
      </c>
      <c r="G284" s="3">
        <v>81.0</v>
      </c>
      <c r="H284" s="5" t="str">
        <f t="shared" si="1"/>
        <v>March 2017</v>
      </c>
      <c r="I284" s="6">
        <f t="shared" si="2"/>
        <v>42795</v>
      </c>
    </row>
    <row r="285">
      <c r="A285" s="2">
        <v>42826.0</v>
      </c>
      <c r="B285" s="3">
        <v>2017.0</v>
      </c>
      <c r="C285" s="3">
        <v>4.0</v>
      </c>
      <c r="D285" s="3" t="s">
        <v>8</v>
      </c>
      <c r="E285" s="3">
        <v>99.44</v>
      </c>
      <c r="F285" s="3">
        <v>123.08</v>
      </c>
      <c r="G285" s="3">
        <v>80.8</v>
      </c>
      <c r="H285" s="5" t="str">
        <f t="shared" si="1"/>
        <v>April 2017</v>
      </c>
      <c r="I285" s="6">
        <f t="shared" si="2"/>
        <v>42826</v>
      </c>
    </row>
    <row r="286">
      <c r="A286" s="2">
        <v>42856.0</v>
      </c>
      <c r="B286" s="3">
        <v>2017.0</v>
      </c>
      <c r="C286" s="3">
        <v>5.0</v>
      </c>
      <c r="D286" s="3" t="s">
        <v>8</v>
      </c>
      <c r="E286" s="3">
        <v>110.32</v>
      </c>
      <c r="F286" s="3">
        <v>139.46</v>
      </c>
      <c r="G286" s="3">
        <v>79.1</v>
      </c>
      <c r="H286" s="5" t="str">
        <f t="shared" si="1"/>
        <v>May 2017</v>
      </c>
      <c r="I286" s="6">
        <f t="shared" si="2"/>
        <v>42856</v>
      </c>
    </row>
    <row r="287">
      <c r="A287" s="2">
        <v>42887.0</v>
      </c>
      <c r="B287" s="3">
        <v>2017.0</v>
      </c>
      <c r="C287" s="3">
        <v>6.0</v>
      </c>
      <c r="D287" s="3" t="s">
        <v>8</v>
      </c>
      <c r="E287" s="3">
        <v>129.61</v>
      </c>
      <c r="F287" s="3">
        <v>157.02</v>
      </c>
      <c r="G287" s="3">
        <v>82.5</v>
      </c>
      <c r="H287" s="5" t="str">
        <f t="shared" si="1"/>
        <v>June 2017</v>
      </c>
      <c r="I287" s="6">
        <f t="shared" si="2"/>
        <v>42887</v>
      </c>
    </row>
    <row r="288">
      <c r="A288" s="2">
        <v>42917.0</v>
      </c>
      <c r="B288" s="3">
        <v>2017.0</v>
      </c>
      <c r="C288" s="3">
        <v>7.0</v>
      </c>
      <c r="D288" s="3" t="s">
        <v>8</v>
      </c>
      <c r="E288" s="3">
        <v>131.43</v>
      </c>
      <c r="F288" s="3">
        <v>161.49</v>
      </c>
      <c r="G288" s="3">
        <v>81.4</v>
      </c>
      <c r="H288" s="5" t="str">
        <f t="shared" si="1"/>
        <v>July 2017</v>
      </c>
      <c r="I288" s="6">
        <f t="shared" si="2"/>
        <v>42917</v>
      </c>
    </row>
    <row r="289">
      <c r="A289" s="2">
        <v>42948.0</v>
      </c>
      <c r="B289" s="3">
        <v>2017.0</v>
      </c>
      <c r="C289" s="3">
        <v>8.0</v>
      </c>
      <c r="D289" s="3" t="s">
        <v>8</v>
      </c>
      <c r="E289" s="3">
        <v>132.14</v>
      </c>
      <c r="F289" s="3">
        <v>157.44</v>
      </c>
      <c r="G289" s="3">
        <v>83.9</v>
      </c>
      <c r="H289" s="5" t="str">
        <f t="shared" si="1"/>
        <v>August 2017</v>
      </c>
      <c r="I289" s="6">
        <f t="shared" si="2"/>
        <v>42948</v>
      </c>
    </row>
    <row r="290">
      <c r="A290" s="2">
        <v>42979.0</v>
      </c>
      <c r="B290" s="3">
        <v>2017.0</v>
      </c>
      <c r="C290" s="3">
        <v>9.0</v>
      </c>
      <c r="D290" s="3" t="s">
        <v>8</v>
      </c>
      <c r="E290" s="3">
        <v>130.94</v>
      </c>
      <c r="F290" s="3">
        <v>157.64</v>
      </c>
      <c r="G290" s="3">
        <v>83.1</v>
      </c>
      <c r="H290" s="5" t="str">
        <f t="shared" si="1"/>
        <v>September 2017</v>
      </c>
      <c r="I290" s="6">
        <f t="shared" si="2"/>
        <v>42979</v>
      </c>
    </row>
    <row r="291">
      <c r="A291" s="4">
        <v>43009.0</v>
      </c>
      <c r="B291" s="3">
        <v>2017.0</v>
      </c>
      <c r="C291" s="3">
        <v>10.0</v>
      </c>
      <c r="D291" s="3" t="s">
        <v>8</v>
      </c>
      <c r="E291" s="3">
        <v>124.5</v>
      </c>
      <c r="F291" s="3">
        <v>153.11</v>
      </c>
      <c r="G291" s="3">
        <v>81.3</v>
      </c>
      <c r="H291" s="5" t="str">
        <f t="shared" si="1"/>
        <v>October 2017</v>
      </c>
      <c r="I291" s="6">
        <f t="shared" si="2"/>
        <v>43009</v>
      </c>
    </row>
    <row r="292">
      <c r="A292" s="4">
        <v>43040.0</v>
      </c>
      <c r="B292" s="3">
        <v>2017.0</v>
      </c>
      <c r="C292" s="3">
        <v>11.0</v>
      </c>
      <c r="D292" s="3" t="s">
        <v>8</v>
      </c>
      <c r="E292" s="3">
        <v>112.16</v>
      </c>
      <c r="F292" s="3">
        <v>143.72</v>
      </c>
      <c r="G292" s="3">
        <v>78.0</v>
      </c>
      <c r="H292" s="5" t="str">
        <f t="shared" si="1"/>
        <v>November 2017</v>
      </c>
      <c r="I292" s="6">
        <f t="shared" si="2"/>
        <v>43040</v>
      </c>
    </row>
    <row r="293">
      <c r="A293" s="4">
        <v>43070.0</v>
      </c>
      <c r="B293" s="3">
        <v>2017.0</v>
      </c>
      <c r="C293" s="3">
        <v>12.0</v>
      </c>
      <c r="D293" s="3" t="s">
        <v>8</v>
      </c>
      <c r="E293" s="3">
        <v>107.84</v>
      </c>
      <c r="F293" s="3">
        <v>131.33</v>
      </c>
      <c r="G293" s="3">
        <v>82.1</v>
      </c>
      <c r="H293" s="5" t="str">
        <f t="shared" si="1"/>
        <v>December 2017</v>
      </c>
      <c r="I293" s="6">
        <f t="shared" si="2"/>
        <v>43070</v>
      </c>
    </row>
    <row r="294">
      <c r="A294" s="2">
        <v>43101.0</v>
      </c>
      <c r="B294" s="3">
        <v>2018.0</v>
      </c>
      <c r="C294" s="3">
        <v>1.0</v>
      </c>
      <c r="D294" s="3" t="s">
        <v>8</v>
      </c>
      <c r="E294" s="3">
        <v>98.79</v>
      </c>
      <c r="F294" s="3">
        <v>120.57</v>
      </c>
      <c r="G294" s="3">
        <v>81.9</v>
      </c>
      <c r="H294" s="5" t="str">
        <f t="shared" si="1"/>
        <v>January 2018</v>
      </c>
      <c r="I294" s="6">
        <f t="shared" si="2"/>
        <v>43101</v>
      </c>
    </row>
    <row r="295">
      <c r="A295" s="2">
        <v>43132.0</v>
      </c>
      <c r="B295" s="3">
        <v>2018.0</v>
      </c>
      <c r="C295" s="3">
        <v>2.0</v>
      </c>
      <c r="D295" s="3" t="s">
        <v>8</v>
      </c>
      <c r="E295" s="3">
        <v>100.89</v>
      </c>
      <c r="F295" s="3">
        <v>129.86</v>
      </c>
      <c r="G295" s="3">
        <v>77.7</v>
      </c>
      <c r="H295" s="5" t="str">
        <f t="shared" si="1"/>
        <v>February 2018</v>
      </c>
      <c r="I295" s="6">
        <f t="shared" si="2"/>
        <v>43132</v>
      </c>
    </row>
    <row r="296">
      <c r="A296" s="2">
        <v>43160.0</v>
      </c>
      <c r="B296" s="3">
        <v>2018.0</v>
      </c>
      <c r="C296" s="3">
        <v>3.0</v>
      </c>
      <c r="D296" s="3" t="s">
        <v>8</v>
      </c>
      <c r="E296" s="3">
        <v>100.74</v>
      </c>
      <c r="F296" s="3">
        <v>121.64</v>
      </c>
      <c r="G296" s="3">
        <v>82.8</v>
      </c>
      <c r="H296" s="5" t="str">
        <f t="shared" si="1"/>
        <v>March 2018</v>
      </c>
      <c r="I296" s="6">
        <f t="shared" si="2"/>
        <v>43160</v>
      </c>
    </row>
    <row r="297">
      <c r="A297" s="2">
        <v>43191.0</v>
      </c>
      <c r="B297" s="3">
        <v>2018.0</v>
      </c>
      <c r="C297" s="3">
        <v>4.0</v>
      </c>
      <c r="D297" s="3" t="s">
        <v>8</v>
      </c>
      <c r="E297" s="3">
        <v>111.83</v>
      </c>
      <c r="F297" s="3">
        <v>140.32</v>
      </c>
      <c r="G297" s="3">
        <v>79.7</v>
      </c>
      <c r="H297" s="5" t="str">
        <f t="shared" si="1"/>
        <v>April 2018</v>
      </c>
      <c r="I297" s="6">
        <f t="shared" si="2"/>
        <v>43191</v>
      </c>
    </row>
    <row r="298">
      <c r="A298" s="2">
        <v>43221.0</v>
      </c>
      <c r="B298" s="3">
        <v>2018.0</v>
      </c>
      <c r="C298" s="3">
        <v>5.0</v>
      </c>
      <c r="D298" s="3" t="s">
        <v>8</v>
      </c>
      <c r="E298" s="3">
        <v>120.57</v>
      </c>
      <c r="F298" s="3">
        <v>143.46</v>
      </c>
      <c r="G298" s="3">
        <v>84.0</v>
      </c>
      <c r="H298" s="5" t="str">
        <f t="shared" si="1"/>
        <v>May 2018</v>
      </c>
      <c r="I298" s="6">
        <f t="shared" si="2"/>
        <v>43221</v>
      </c>
    </row>
    <row r="299">
      <c r="A299" s="2">
        <v>43252.0</v>
      </c>
      <c r="B299" s="3">
        <v>2018.0</v>
      </c>
      <c r="C299" s="3">
        <v>6.0</v>
      </c>
      <c r="D299" s="3" t="s">
        <v>8</v>
      </c>
      <c r="E299" s="3">
        <v>132.59</v>
      </c>
      <c r="F299" s="3">
        <v>162.08</v>
      </c>
      <c r="G299" s="3">
        <v>81.8</v>
      </c>
      <c r="H299" s="5" t="str">
        <f t="shared" si="1"/>
        <v>June 2018</v>
      </c>
      <c r="I299" s="6">
        <f t="shared" si="2"/>
        <v>43252</v>
      </c>
    </row>
    <row r="300">
      <c r="A300" s="2">
        <v>43282.0</v>
      </c>
      <c r="B300" s="3">
        <v>2018.0</v>
      </c>
      <c r="C300" s="3">
        <v>7.0</v>
      </c>
      <c r="D300" s="3" t="s">
        <v>8</v>
      </c>
      <c r="E300" s="3">
        <v>134.81</v>
      </c>
      <c r="F300" s="3">
        <v>166.97</v>
      </c>
      <c r="G300" s="3">
        <v>80.7</v>
      </c>
      <c r="H300" s="5" t="str">
        <f t="shared" si="1"/>
        <v>July 2018</v>
      </c>
      <c r="I300" s="6">
        <f t="shared" si="2"/>
        <v>43282</v>
      </c>
    </row>
    <row r="301">
      <c r="A301" s="2">
        <v>43313.0</v>
      </c>
      <c r="B301" s="3">
        <v>2018.0</v>
      </c>
      <c r="C301" s="3">
        <v>8.0</v>
      </c>
      <c r="D301" s="3" t="s">
        <v>8</v>
      </c>
      <c r="E301" s="3">
        <v>141.7</v>
      </c>
      <c r="F301" s="3">
        <v>171.99</v>
      </c>
      <c r="G301" s="3">
        <v>82.4</v>
      </c>
      <c r="H301" s="5" t="str">
        <f t="shared" si="1"/>
        <v>August 2018</v>
      </c>
      <c r="I301" s="6">
        <f t="shared" si="2"/>
        <v>43313</v>
      </c>
    </row>
    <row r="302">
      <c r="A302" s="2">
        <v>43344.0</v>
      </c>
      <c r="B302" s="3">
        <v>2018.0</v>
      </c>
      <c r="C302" s="3">
        <v>9.0</v>
      </c>
      <c r="D302" s="3" t="s">
        <v>8</v>
      </c>
      <c r="E302" s="3">
        <v>140.48</v>
      </c>
      <c r="F302" s="3">
        <v>170.76</v>
      </c>
      <c r="G302" s="3">
        <v>82.3</v>
      </c>
      <c r="H302" s="5" t="str">
        <f t="shared" si="1"/>
        <v>September 2018</v>
      </c>
      <c r="I302" s="6">
        <f t="shared" si="2"/>
        <v>43344</v>
      </c>
    </row>
    <row r="303">
      <c r="A303" s="4">
        <v>43374.0</v>
      </c>
      <c r="B303" s="3">
        <v>2018.0</v>
      </c>
      <c r="C303" s="3">
        <v>10.0</v>
      </c>
      <c r="D303" s="3" t="s">
        <v>8</v>
      </c>
      <c r="E303" s="3">
        <v>134.96</v>
      </c>
      <c r="F303" s="3">
        <v>164.21</v>
      </c>
      <c r="G303" s="3">
        <v>82.2</v>
      </c>
      <c r="H303" s="5" t="str">
        <f t="shared" si="1"/>
        <v>October 2018</v>
      </c>
      <c r="I303" s="6">
        <f t="shared" si="2"/>
        <v>43374</v>
      </c>
    </row>
    <row r="304">
      <c r="A304" s="4">
        <v>43405.0</v>
      </c>
      <c r="B304" s="3">
        <v>2018.0</v>
      </c>
      <c r="C304" s="3">
        <v>11.0</v>
      </c>
      <c r="D304" s="3" t="s">
        <v>8</v>
      </c>
      <c r="E304" s="3">
        <v>125.93</v>
      </c>
      <c r="F304" s="3">
        <v>150.38</v>
      </c>
      <c r="G304" s="3">
        <v>83.7</v>
      </c>
      <c r="H304" s="5" t="str">
        <f t="shared" si="1"/>
        <v>November 2018</v>
      </c>
      <c r="I304" s="6">
        <f t="shared" si="2"/>
        <v>43405</v>
      </c>
    </row>
    <row r="305">
      <c r="A305" s="4">
        <v>43435.0</v>
      </c>
      <c r="B305" s="3">
        <v>2018.0</v>
      </c>
      <c r="C305" s="3">
        <v>12.0</v>
      </c>
      <c r="D305" s="3" t="s">
        <v>8</v>
      </c>
      <c r="E305" s="3">
        <v>111.51</v>
      </c>
      <c r="F305" s="3">
        <v>142.27</v>
      </c>
      <c r="G305" s="3">
        <v>78.4</v>
      </c>
      <c r="H305" s="5" t="str">
        <f t="shared" si="1"/>
        <v>December 2018</v>
      </c>
      <c r="I305" s="6">
        <f t="shared" si="2"/>
        <v>43435</v>
      </c>
    </row>
    <row r="306">
      <c r="A306" s="2">
        <v>43466.0</v>
      </c>
      <c r="B306" s="3">
        <v>2019.0</v>
      </c>
      <c r="C306" s="3">
        <v>1.0</v>
      </c>
      <c r="D306" s="3" t="s">
        <v>8</v>
      </c>
      <c r="E306" s="3">
        <v>113.01</v>
      </c>
      <c r="F306" s="3">
        <v>136.95</v>
      </c>
      <c r="G306" s="3">
        <v>82.5</v>
      </c>
      <c r="H306" s="5" t="str">
        <f t="shared" si="1"/>
        <v>January 2019</v>
      </c>
      <c r="I306" s="6">
        <f t="shared" si="2"/>
        <v>43466</v>
      </c>
    </row>
    <row r="307">
      <c r="A307" s="2">
        <v>43497.0</v>
      </c>
      <c r="B307" s="3">
        <v>2019.0</v>
      </c>
      <c r="C307" s="3">
        <v>2.0</v>
      </c>
      <c r="D307" s="3" t="s">
        <v>8</v>
      </c>
      <c r="E307" s="3">
        <v>94.53</v>
      </c>
      <c r="F307" s="3">
        <v>117.32</v>
      </c>
      <c r="G307" s="3">
        <v>80.6</v>
      </c>
      <c r="H307" s="5" t="str">
        <f t="shared" si="1"/>
        <v>February 2019</v>
      </c>
      <c r="I307" s="6">
        <f t="shared" si="2"/>
        <v>43497</v>
      </c>
    </row>
    <row r="308">
      <c r="A308" s="2">
        <v>43525.0</v>
      </c>
      <c r="B308" s="3">
        <v>2019.0</v>
      </c>
      <c r="C308" s="3">
        <v>3.0</v>
      </c>
      <c r="D308" s="3" t="s">
        <v>8</v>
      </c>
      <c r="E308" s="3">
        <v>98.1</v>
      </c>
      <c r="F308" s="3">
        <v>120.46</v>
      </c>
      <c r="G308" s="3">
        <v>81.4</v>
      </c>
      <c r="H308" s="5" t="str">
        <f t="shared" si="1"/>
        <v>March 2019</v>
      </c>
      <c r="I308" s="6">
        <f t="shared" si="2"/>
        <v>43525</v>
      </c>
    </row>
    <row r="309">
      <c r="A309" s="2">
        <v>43556.0</v>
      </c>
      <c r="B309" s="3">
        <v>2019.0</v>
      </c>
      <c r="C309" s="3">
        <v>4.0</v>
      </c>
      <c r="D309" s="3" t="s">
        <v>8</v>
      </c>
      <c r="E309" s="3">
        <v>94.05</v>
      </c>
      <c r="F309" s="3">
        <v>110.91</v>
      </c>
      <c r="G309" s="3">
        <v>84.8</v>
      </c>
      <c r="H309" s="5" t="str">
        <f t="shared" si="1"/>
        <v>April 2019</v>
      </c>
      <c r="I309" s="6">
        <f t="shared" si="2"/>
        <v>43556</v>
      </c>
    </row>
    <row r="310">
      <c r="A310" s="2">
        <v>43586.0</v>
      </c>
      <c r="B310" s="3">
        <v>2019.0</v>
      </c>
      <c r="C310" s="3">
        <v>5.0</v>
      </c>
      <c r="D310" s="3" t="s">
        <v>8</v>
      </c>
      <c r="E310" s="3">
        <v>93.35</v>
      </c>
      <c r="F310" s="3">
        <v>116.11</v>
      </c>
      <c r="G310" s="3">
        <v>80.4</v>
      </c>
      <c r="H310" s="5" t="str">
        <f t="shared" si="1"/>
        <v>May 2019</v>
      </c>
      <c r="I310" s="6">
        <f t="shared" si="2"/>
        <v>43586</v>
      </c>
    </row>
    <row r="311">
      <c r="A311" s="2">
        <v>43617.0</v>
      </c>
      <c r="B311" s="3">
        <v>2019.0</v>
      </c>
      <c r="C311" s="3">
        <v>6.0</v>
      </c>
      <c r="D311" s="3" t="s">
        <v>8</v>
      </c>
      <c r="E311" s="3">
        <v>96.73</v>
      </c>
      <c r="F311" s="3">
        <v>116.86</v>
      </c>
      <c r="G311" s="3">
        <v>82.8</v>
      </c>
      <c r="H311" s="5" t="str">
        <f t="shared" si="1"/>
        <v>June 2019</v>
      </c>
      <c r="I311" s="6">
        <f t="shared" si="2"/>
        <v>43617</v>
      </c>
    </row>
    <row r="312">
      <c r="A312" s="2">
        <v>43647.0</v>
      </c>
      <c r="B312" s="3">
        <v>2019.0</v>
      </c>
      <c r="C312" s="3">
        <v>7.0</v>
      </c>
      <c r="D312" s="3" t="s">
        <v>8</v>
      </c>
      <c r="E312" s="3">
        <v>94.62</v>
      </c>
      <c r="F312" s="3">
        <v>112.88</v>
      </c>
      <c r="G312" s="3">
        <v>83.8</v>
      </c>
      <c r="H312" s="5" t="str">
        <f t="shared" si="1"/>
        <v>July 2019</v>
      </c>
      <c r="I312" s="6">
        <f t="shared" si="2"/>
        <v>43647</v>
      </c>
    </row>
    <row r="313">
      <c r="A313" s="2">
        <v>43678.0</v>
      </c>
      <c r="B313" s="3">
        <v>2019.0</v>
      </c>
      <c r="C313" s="3">
        <v>8.0</v>
      </c>
      <c r="D313" s="3" t="s">
        <v>8</v>
      </c>
      <c r="E313" s="3">
        <v>87.44</v>
      </c>
      <c r="F313" s="3">
        <v>105.38</v>
      </c>
      <c r="G313" s="3">
        <v>83.0</v>
      </c>
      <c r="H313" s="5" t="str">
        <f t="shared" si="1"/>
        <v>August 2019</v>
      </c>
      <c r="I313" s="6">
        <f t="shared" si="2"/>
        <v>43678</v>
      </c>
    </row>
    <row r="314">
      <c r="A314" s="2">
        <v>43709.0</v>
      </c>
      <c r="B314" s="3">
        <v>2019.0</v>
      </c>
      <c r="C314" s="3">
        <v>9.0</v>
      </c>
      <c r="D314" s="3" t="s">
        <v>8</v>
      </c>
      <c r="E314" s="3">
        <v>76.99</v>
      </c>
      <c r="F314" s="3">
        <v>93.74</v>
      </c>
      <c r="G314" s="3">
        <v>82.1</v>
      </c>
      <c r="H314" s="5" t="str">
        <f t="shared" si="1"/>
        <v>September 2019</v>
      </c>
      <c r="I314" s="6">
        <f t="shared" si="2"/>
        <v>43709</v>
      </c>
    </row>
    <row r="315">
      <c r="A315" s="4">
        <v>43739.0</v>
      </c>
      <c r="B315" s="3">
        <v>2019.0</v>
      </c>
      <c r="C315" s="3">
        <v>10.0</v>
      </c>
      <c r="D315" s="3" t="s">
        <v>8</v>
      </c>
      <c r="E315" s="3">
        <v>66.6</v>
      </c>
      <c r="F315" s="3">
        <v>80.79</v>
      </c>
      <c r="G315" s="3">
        <v>82.4</v>
      </c>
      <c r="H315" s="5" t="str">
        <f t="shared" si="1"/>
        <v>October 2019</v>
      </c>
      <c r="I315" s="6">
        <f t="shared" si="2"/>
        <v>43739</v>
      </c>
    </row>
    <row r="316">
      <c r="A316" s="4">
        <v>43770.0</v>
      </c>
      <c r="B316" s="3">
        <v>2019.0</v>
      </c>
      <c r="C316" s="3">
        <v>11.0</v>
      </c>
      <c r="D316" s="3" t="s">
        <v>8</v>
      </c>
      <c r="E316" s="3">
        <v>56.12</v>
      </c>
      <c r="F316" s="3">
        <v>67.52</v>
      </c>
      <c r="G316" s="3">
        <v>83.1</v>
      </c>
      <c r="H316" s="5" t="str">
        <f t="shared" si="1"/>
        <v>November 2019</v>
      </c>
      <c r="I316" s="6">
        <f t="shared" si="2"/>
        <v>43770</v>
      </c>
    </row>
    <row r="317">
      <c r="A317" s="4">
        <v>43800.0</v>
      </c>
      <c r="B317" s="3">
        <v>2019.0</v>
      </c>
      <c r="C317" s="3">
        <v>12.0</v>
      </c>
      <c r="D317" s="3" t="s">
        <v>8</v>
      </c>
      <c r="E317" s="3">
        <v>44.38</v>
      </c>
      <c r="F317" s="3">
        <v>55.21</v>
      </c>
      <c r="G317" s="3">
        <v>80.4</v>
      </c>
      <c r="H317" s="5" t="str">
        <f t="shared" si="1"/>
        <v>December 2019</v>
      </c>
      <c r="I317" s="6">
        <f t="shared" si="2"/>
        <v>43800</v>
      </c>
    </row>
    <row r="318">
      <c r="A318" s="2">
        <v>43831.0</v>
      </c>
      <c r="B318" s="3">
        <v>2020.0</v>
      </c>
      <c r="C318" s="3">
        <v>1.0</v>
      </c>
      <c r="D318" s="3" t="s">
        <v>8</v>
      </c>
      <c r="E318" s="3">
        <v>35.75</v>
      </c>
      <c r="F318" s="3">
        <v>43.62</v>
      </c>
      <c r="G318" s="3">
        <v>81.9</v>
      </c>
      <c r="H318" s="5" t="str">
        <f t="shared" si="1"/>
        <v>January 2020</v>
      </c>
      <c r="I318" s="6">
        <f t="shared" si="2"/>
        <v>43831</v>
      </c>
    </row>
    <row r="319">
      <c r="A319" s="2">
        <v>43862.0</v>
      </c>
      <c r="B319" s="3">
        <v>2020.0</v>
      </c>
      <c r="C319" s="3">
        <v>2.0</v>
      </c>
      <c r="D319" s="3" t="s">
        <v>8</v>
      </c>
      <c r="E319" s="3">
        <v>36.8</v>
      </c>
      <c r="F319" s="3">
        <v>42.58</v>
      </c>
      <c r="G319" s="3">
        <v>86.4</v>
      </c>
      <c r="H319" s="5" t="str">
        <f t="shared" si="1"/>
        <v>February 2020</v>
      </c>
      <c r="I319" s="6">
        <f t="shared" si="2"/>
        <v>43862</v>
      </c>
    </row>
    <row r="320">
      <c r="A320" s="2">
        <v>43891.0</v>
      </c>
      <c r="B320" s="3">
        <v>2020.0</v>
      </c>
      <c r="C320" s="3">
        <v>3.0</v>
      </c>
      <c r="D320" s="3" t="s">
        <v>8</v>
      </c>
      <c r="E320" s="3">
        <v>5.79</v>
      </c>
      <c r="F320" s="3">
        <v>10.53</v>
      </c>
      <c r="G320" s="3">
        <v>55.0</v>
      </c>
      <c r="H320" s="5" t="str">
        <f t="shared" si="1"/>
        <v>March 2020</v>
      </c>
      <c r="I320" s="6">
        <f t="shared" si="2"/>
        <v>43891</v>
      </c>
    </row>
    <row r="321">
      <c r="A321" s="2">
        <v>43922.0</v>
      </c>
      <c r="B321" s="3">
        <v>2020.0</v>
      </c>
      <c r="C321" s="3">
        <v>4.0</v>
      </c>
      <c r="D321" s="3" t="s">
        <v>8</v>
      </c>
      <c r="E321" s="3">
        <v>6.75</v>
      </c>
      <c r="F321" s="3">
        <v>12.28</v>
      </c>
      <c r="G321" s="3">
        <v>55.0</v>
      </c>
      <c r="H321" s="5" t="str">
        <f t="shared" si="1"/>
        <v>April 2020</v>
      </c>
      <c r="I321" s="6">
        <f t="shared" si="2"/>
        <v>43922</v>
      </c>
    </row>
    <row r="322">
      <c r="A322" s="2">
        <v>43952.0</v>
      </c>
      <c r="B322" s="3">
        <v>2020.0</v>
      </c>
      <c r="C322" s="3">
        <v>5.0</v>
      </c>
      <c r="D322" s="3" t="s">
        <v>8</v>
      </c>
      <c r="E322" s="3">
        <v>7.91</v>
      </c>
      <c r="F322" s="3">
        <v>14.38</v>
      </c>
      <c r="G322" s="3">
        <v>55.0</v>
      </c>
      <c r="H322" s="5" t="str">
        <f t="shared" si="1"/>
        <v>May 2020</v>
      </c>
      <c r="I322" s="6">
        <f t="shared" si="2"/>
        <v>43952</v>
      </c>
    </row>
    <row r="323">
      <c r="A323" s="2">
        <v>43983.0</v>
      </c>
      <c r="B323" s="3">
        <v>2020.0</v>
      </c>
      <c r="C323" s="3">
        <v>6.0</v>
      </c>
      <c r="D323" s="3" t="s">
        <v>8</v>
      </c>
      <c r="E323" s="3">
        <v>8.34</v>
      </c>
      <c r="F323" s="3">
        <v>15.16</v>
      </c>
      <c r="G323" s="3">
        <v>55.0</v>
      </c>
      <c r="H323" s="5" t="str">
        <f t="shared" si="1"/>
        <v>June 2020</v>
      </c>
      <c r="I323" s="6">
        <f t="shared" si="2"/>
        <v>43983</v>
      </c>
    </row>
    <row r="324">
      <c r="A324" s="2">
        <v>44013.0</v>
      </c>
      <c r="B324" s="3">
        <v>2020.0</v>
      </c>
      <c r="C324" s="3">
        <v>7.0</v>
      </c>
      <c r="D324" s="3" t="s">
        <v>8</v>
      </c>
      <c r="E324" s="3">
        <v>59.54</v>
      </c>
      <c r="F324" s="3">
        <v>108.25</v>
      </c>
      <c r="G324" s="3">
        <v>55.0</v>
      </c>
      <c r="H324" s="5" t="str">
        <f t="shared" si="1"/>
        <v>July 2020</v>
      </c>
      <c r="I324" s="6">
        <f t="shared" si="2"/>
        <v>44013</v>
      </c>
    </row>
    <row r="325">
      <c r="A325" s="2">
        <v>44044.0</v>
      </c>
      <c r="B325" s="3">
        <v>2020.0</v>
      </c>
      <c r="C325" s="3">
        <v>8.0</v>
      </c>
      <c r="D325" s="3" t="s">
        <v>8</v>
      </c>
      <c r="E325" s="3">
        <v>22.83</v>
      </c>
      <c r="F325" s="3">
        <v>41.5</v>
      </c>
      <c r="G325" s="3">
        <v>55.0</v>
      </c>
      <c r="H325" s="5" t="str">
        <f t="shared" si="1"/>
        <v>August 2020</v>
      </c>
      <c r="I325" s="6">
        <f t="shared" si="2"/>
        <v>44044</v>
      </c>
    </row>
    <row r="326">
      <c r="A326" s="2">
        <v>44075.0</v>
      </c>
      <c r="B326" s="3">
        <v>2020.0</v>
      </c>
      <c r="C326" s="3">
        <v>9.0</v>
      </c>
      <c r="D326" s="3" t="s">
        <v>8</v>
      </c>
      <c r="E326" s="3">
        <v>23.55</v>
      </c>
      <c r="F326" s="3">
        <v>42.81</v>
      </c>
      <c r="G326" s="3">
        <v>55.0</v>
      </c>
      <c r="H326" s="5" t="str">
        <f t="shared" si="1"/>
        <v>September 2020</v>
      </c>
      <c r="I326" s="6">
        <f t="shared" si="2"/>
        <v>44075</v>
      </c>
    </row>
    <row r="327">
      <c r="A327" s="4">
        <v>44105.0</v>
      </c>
      <c r="B327" s="3">
        <v>2020.0</v>
      </c>
      <c r="C327" s="3">
        <v>10.0</v>
      </c>
      <c r="D327" s="3" t="s">
        <v>8</v>
      </c>
      <c r="E327" s="3">
        <v>22.12</v>
      </c>
      <c r="F327" s="3">
        <v>40.22</v>
      </c>
      <c r="G327" s="3">
        <v>55.0</v>
      </c>
      <c r="H327" s="5" t="str">
        <f t="shared" si="1"/>
        <v>October 2020</v>
      </c>
      <c r="I327" s="6">
        <f t="shared" si="2"/>
        <v>44105</v>
      </c>
    </row>
    <row r="328">
      <c r="A328" s="4">
        <v>44136.0</v>
      </c>
      <c r="B328" s="3">
        <v>2020.0</v>
      </c>
      <c r="C328" s="3">
        <v>11.0</v>
      </c>
      <c r="D328" s="3" t="s">
        <v>8</v>
      </c>
      <c r="E328" s="3">
        <v>21.75</v>
      </c>
      <c r="F328" s="3">
        <v>39.55</v>
      </c>
      <c r="G328" s="3">
        <v>55.0</v>
      </c>
      <c r="H328" s="5" t="str">
        <f t="shared" si="1"/>
        <v>November 2020</v>
      </c>
      <c r="I328" s="6">
        <f t="shared" si="2"/>
        <v>44136</v>
      </c>
    </row>
    <row r="329">
      <c r="A329" s="4">
        <v>44166.0</v>
      </c>
      <c r="B329" s="3">
        <v>2020.0</v>
      </c>
      <c r="C329" s="3">
        <v>12.0</v>
      </c>
      <c r="D329" s="3" t="s">
        <v>8</v>
      </c>
      <c r="E329" s="3">
        <v>20.12</v>
      </c>
      <c r="F329" s="3">
        <v>36.58</v>
      </c>
      <c r="G329" s="3">
        <v>55.0</v>
      </c>
      <c r="H329" s="5" t="str">
        <f t="shared" si="1"/>
        <v>December 2020</v>
      </c>
      <c r="I329" s="6">
        <f t="shared" si="2"/>
        <v>44166</v>
      </c>
    </row>
    <row r="330">
      <c r="A330" s="2">
        <v>44197.0</v>
      </c>
      <c r="B330" s="3">
        <v>2021.0</v>
      </c>
      <c r="C330" s="3">
        <v>1.0</v>
      </c>
      <c r="D330" s="3" t="s">
        <v>8</v>
      </c>
      <c r="E330" s="3">
        <v>58.62</v>
      </c>
      <c r="F330" s="3">
        <v>72.12</v>
      </c>
      <c r="G330" s="3">
        <v>81.3</v>
      </c>
      <c r="H330" s="5" t="str">
        <f t="shared" si="1"/>
        <v>January 2021</v>
      </c>
      <c r="I330" s="6">
        <f t="shared" si="2"/>
        <v>44197</v>
      </c>
    </row>
    <row r="331">
      <c r="A331" s="2">
        <v>44228.0</v>
      </c>
      <c r="B331" s="3">
        <v>2021.0</v>
      </c>
      <c r="C331" s="3">
        <v>2.0</v>
      </c>
      <c r="D331" s="3" t="s">
        <v>8</v>
      </c>
      <c r="E331" s="3">
        <v>25.93</v>
      </c>
      <c r="F331" s="3">
        <v>31.68</v>
      </c>
      <c r="G331" s="3">
        <v>81.9</v>
      </c>
      <c r="H331" s="5" t="str">
        <f t="shared" si="1"/>
        <v>February 2021</v>
      </c>
      <c r="I331" s="6">
        <f t="shared" si="2"/>
        <v>44228</v>
      </c>
    </row>
    <row r="332">
      <c r="A332" s="2">
        <v>44256.0</v>
      </c>
      <c r="B332" s="3">
        <v>2021.0</v>
      </c>
      <c r="C332" s="3">
        <v>3.0</v>
      </c>
      <c r="D332" s="3" t="s">
        <v>8</v>
      </c>
      <c r="E332" s="3">
        <v>27.85</v>
      </c>
      <c r="F332" s="3">
        <v>34.68</v>
      </c>
      <c r="G332" s="3">
        <v>80.3</v>
      </c>
      <c r="H332" s="5" t="str">
        <f t="shared" si="1"/>
        <v>March 2021</v>
      </c>
      <c r="I332" s="6">
        <f t="shared" si="2"/>
        <v>44256</v>
      </c>
    </row>
    <row r="333">
      <c r="A333" s="2">
        <v>44287.0</v>
      </c>
      <c r="B333" s="3">
        <v>2021.0</v>
      </c>
      <c r="C333" s="3">
        <v>4.0</v>
      </c>
      <c r="D333" s="3" t="s">
        <v>8</v>
      </c>
      <c r="E333" s="3">
        <v>28.87</v>
      </c>
      <c r="F333" s="3">
        <v>35.01</v>
      </c>
      <c r="G333" s="3">
        <v>82.4</v>
      </c>
      <c r="H333" s="5" t="str">
        <f t="shared" si="1"/>
        <v>April 2021</v>
      </c>
      <c r="I333" s="6">
        <f t="shared" si="2"/>
        <v>44287</v>
      </c>
    </row>
    <row r="334">
      <c r="A334" s="2">
        <v>44317.0</v>
      </c>
      <c r="B334" s="3">
        <v>2021.0</v>
      </c>
      <c r="C334" s="3">
        <v>5.0</v>
      </c>
      <c r="D334" s="3" t="s">
        <v>8</v>
      </c>
      <c r="E334" s="3">
        <v>33.75</v>
      </c>
      <c r="F334" s="3">
        <v>40.83</v>
      </c>
      <c r="G334" s="3">
        <v>82.7</v>
      </c>
      <c r="H334" s="5" t="str">
        <f t="shared" si="1"/>
        <v>May 2021</v>
      </c>
      <c r="I334" s="6">
        <f t="shared" si="2"/>
        <v>44317</v>
      </c>
    </row>
    <row r="335">
      <c r="A335" s="2">
        <v>44348.0</v>
      </c>
      <c r="B335" s="3">
        <v>2021.0</v>
      </c>
      <c r="C335" s="3">
        <v>6.0</v>
      </c>
      <c r="D335" s="3" t="s">
        <v>8</v>
      </c>
      <c r="E335" s="3">
        <v>35.75</v>
      </c>
      <c r="F335" s="3">
        <v>42.88</v>
      </c>
      <c r="G335" s="3">
        <v>83.4</v>
      </c>
      <c r="H335" s="5" t="str">
        <f t="shared" si="1"/>
        <v>June 2021</v>
      </c>
      <c r="I335" s="6">
        <f t="shared" si="2"/>
        <v>44348</v>
      </c>
    </row>
    <row r="336">
      <c r="A336" s="2">
        <v>44378.0</v>
      </c>
      <c r="B336" s="3">
        <v>2021.0</v>
      </c>
      <c r="C336" s="3">
        <v>7.0</v>
      </c>
      <c r="D336" s="3" t="s">
        <v>8</v>
      </c>
      <c r="E336" s="3">
        <v>85.91</v>
      </c>
      <c r="F336" s="3">
        <v>106.12</v>
      </c>
      <c r="G336" s="3">
        <v>81.0</v>
      </c>
      <c r="H336" s="5" t="str">
        <f t="shared" si="1"/>
        <v>July 2021</v>
      </c>
      <c r="I336" s="6">
        <f t="shared" si="2"/>
        <v>44378</v>
      </c>
    </row>
    <row r="337">
      <c r="A337" s="2">
        <v>44409.0</v>
      </c>
      <c r="B337" s="3">
        <v>2021.0</v>
      </c>
      <c r="C337" s="3">
        <v>8.0</v>
      </c>
      <c r="D337" s="3" t="s">
        <v>8</v>
      </c>
      <c r="E337" s="3">
        <v>57.98</v>
      </c>
      <c r="F337" s="3">
        <v>68.53</v>
      </c>
      <c r="G337" s="3">
        <v>84.6</v>
      </c>
      <c r="H337" s="5" t="str">
        <f t="shared" si="1"/>
        <v>August 2021</v>
      </c>
      <c r="I337" s="6">
        <f t="shared" si="2"/>
        <v>44409</v>
      </c>
    </row>
    <row r="338">
      <c r="A338" s="2">
        <v>44440.0</v>
      </c>
      <c r="B338" s="3">
        <v>2021.0</v>
      </c>
      <c r="C338" s="3">
        <v>9.0</v>
      </c>
      <c r="D338" s="3" t="s">
        <v>8</v>
      </c>
      <c r="E338" s="3">
        <v>61.25</v>
      </c>
      <c r="F338" s="3">
        <v>73.61</v>
      </c>
      <c r="G338" s="3">
        <v>83.2</v>
      </c>
      <c r="H338" s="5" t="str">
        <f t="shared" si="1"/>
        <v>September 2021</v>
      </c>
      <c r="I338" s="6">
        <f t="shared" si="2"/>
        <v>44440</v>
      </c>
    </row>
    <row r="339">
      <c r="A339" s="4">
        <v>44470.0</v>
      </c>
      <c r="B339" s="3">
        <v>2021.0</v>
      </c>
      <c r="C339" s="3">
        <v>10.0</v>
      </c>
      <c r="D339" s="3" t="s">
        <v>8</v>
      </c>
      <c r="E339" s="3">
        <v>60.84</v>
      </c>
      <c r="F339" s="3">
        <v>69.43</v>
      </c>
      <c r="G339" s="3">
        <v>87.6</v>
      </c>
      <c r="H339" s="5" t="str">
        <f t="shared" si="1"/>
        <v>October 2021</v>
      </c>
      <c r="I339" s="6">
        <f t="shared" si="2"/>
        <v>44470</v>
      </c>
    </row>
    <row r="340">
      <c r="A340" s="4">
        <v>44501.0</v>
      </c>
      <c r="B340" s="3">
        <v>2021.0</v>
      </c>
      <c r="C340" s="3">
        <v>11.0</v>
      </c>
      <c r="D340" s="3" t="s">
        <v>8</v>
      </c>
      <c r="E340" s="3">
        <v>53.05</v>
      </c>
      <c r="F340" s="3">
        <v>65.89</v>
      </c>
      <c r="G340" s="3">
        <v>80.5</v>
      </c>
      <c r="H340" s="5" t="str">
        <f t="shared" si="1"/>
        <v>November 2021</v>
      </c>
      <c r="I340" s="6">
        <f t="shared" si="2"/>
        <v>44501</v>
      </c>
    </row>
    <row r="341">
      <c r="A341" s="4">
        <v>44531.0</v>
      </c>
      <c r="B341" s="3">
        <v>2021.0</v>
      </c>
      <c r="C341" s="3">
        <v>12.0</v>
      </c>
      <c r="D341" s="3" t="s">
        <v>8</v>
      </c>
      <c r="E341" s="3">
        <v>51.92</v>
      </c>
      <c r="F341" s="3">
        <v>64.65</v>
      </c>
      <c r="G341" s="3">
        <v>80.3</v>
      </c>
      <c r="H341" s="5" t="str">
        <f t="shared" si="1"/>
        <v>December 2021</v>
      </c>
      <c r="I341" s="6">
        <f t="shared" si="2"/>
        <v>44531</v>
      </c>
    </row>
    <row r="342">
      <c r="A342" s="2">
        <v>44562.0</v>
      </c>
      <c r="B342" s="3">
        <v>2022.0</v>
      </c>
      <c r="C342" s="3">
        <v>1.0</v>
      </c>
      <c r="D342" s="3" t="s">
        <v>8</v>
      </c>
      <c r="E342" s="3">
        <v>75.82</v>
      </c>
      <c r="F342" s="3">
        <v>93.14</v>
      </c>
      <c r="G342" s="3">
        <v>81.4</v>
      </c>
      <c r="H342" s="5" t="str">
        <f t="shared" si="1"/>
        <v>January 2022</v>
      </c>
      <c r="I342" s="6">
        <f t="shared" si="2"/>
        <v>44562</v>
      </c>
    </row>
    <row r="343">
      <c r="A343" s="2">
        <v>44593.0</v>
      </c>
      <c r="B343" s="3">
        <v>2022.0</v>
      </c>
      <c r="C343" s="3">
        <v>2.0</v>
      </c>
      <c r="D343" s="3" t="s">
        <v>8</v>
      </c>
      <c r="E343" s="3">
        <v>74.82</v>
      </c>
      <c r="F343" s="3">
        <v>90.5</v>
      </c>
      <c r="G343" s="3">
        <v>82.7</v>
      </c>
      <c r="H343" s="5" t="str">
        <f t="shared" si="1"/>
        <v>February 2022</v>
      </c>
      <c r="I343" s="6">
        <f t="shared" si="2"/>
        <v>44593</v>
      </c>
    </row>
    <row r="344">
      <c r="A344" s="2">
        <v>44621.0</v>
      </c>
      <c r="B344" s="3">
        <v>2022.0</v>
      </c>
      <c r="C344" s="3">
        <v>3.0</v>
      </c>
      <c r="D344" s="3" t="s">
        <v>8</v>
      </c>
      <c r="E344" s="3">
        <v>80.68</v>
      </c>
      <c r="F344" s="3">
        <v>97.25</v>
      </c>
      <c r="G344" s="3">
        <v>83.0</v>
      </c>
      <c r="H344" s="5" t="str">
        <f t="shared" si="1"/>
        <v>March 2022</v>
      </c>
      <c r="I344" s="6">
        <f t="shared" si="2"/>
        <v>44621</v>
      </c>
    </row>
    <row r="345">
      <c r="A345" s="2">
        <v>44652.0</v>
      </c>
      <c r="B345" s="3">
        <v>2022.0</v>
      </c>
      <c r="C345" s="3">
        <v>4.0</v>
      </c>
      <c r="D345" s="3" t="s">
        <v>8</v>
      </c>
      <c r="E345" s="3">
        <v>88.17</v>
      </c>
      <c r="F345" s="3">
        <v>105.96</v>
      </c>
      <c r="G345" s="3">
        <v>83.2</v>
      </c>
      <c r="H345" s="5" t="str">
        <f t="shared" si="1"/>
        <v>April 2022</v>
      </c>
      <c r="I345" s="6">
        <f t="shared" si="2"/>
        <v>44652</v>
      </c>
    </row>
    <row r="346">
      <c r="A346" s="2">
        <v>44682.0</v>
      </c>
      <c r="B346" s="3">
        <v>2022.0</v>
      </c>
      <c r="C346" s="3">
        <v>5.0</v>
      </c>
      <c r="D346" s="3" t="s">
        <v>8</v>
      </c>
      <c r="E346" s="3">
        <v>94.11</v>
      </c>
      <c r="F346" s="3">
        <v>109.12</v>
      </c>
      <c r="G346" s="3">
        <v>86.2</v>
      </c>
      <c r="H346" s="5" t="str">
        <f t="shared" si="1"/>
        <v>May 2022</v>
      </c>
      <c r="I346" s="6">
        <f t="shared" si="2"/>
        <v>44682</v>
      </c>
    </row>
    <row r="347">
      <c r="A347" s="2">
        <v>44713.0</v>
      </c>
      <c r="B347" s="3">
        <v>2022.0</v>
      </c>
      <c r="C347" s="3">
        <v>6.0</v>
      </c>
      <c r="D347" s="3" t="s">
        <v>8</v>
      </c>
      <c r="E347" s="3">
        <v>104.42</v>
      </c>
      <c r="F347" s="3">
        <v>133.41</v>
      </c>
      <c r="G347" s="3">
        <v>78.3</v>
      </c>
      <c r="H347" s="5" t="str">
        <f t="shared" si="1"/>
        <v>June 2022</v>
      </c>
      <c r="I347" s="6">
        <f t="shared" si="2"/>
        <v>44713</v>
      </c>
    </row>
    <row r="348">
      <c r="A348" s="2">
        <v>44743.0</v>
      </c>
      <c r="B348" s="3">
        <v>2022.0</v>
      </c>
      <c r="C348" s="3">
        <v>7.0</v>
      </c>
      <c r="D348" s="3" t="s">
        <v>8</v>
      </c>
      <c r="E348" s="3">
        <v>107.18</v>
      </c>
      <c r="F348" s="3">
        <v>136.5</v>
      </c>
      <c r="G348" s="3">
        <v>78.5</v>
      </c>
      <c r="H348" s="5" t="str">
        <f t="shared" si="1"/>
        <v>July 2022</v>
      </c>
      <c r="I348" s="6">
        <f t="shared" si="2"/>
        <v>44743</v>
      </c>
    </row>
    <row r="349">
      <c r="A349" s="2">
        <v>44774.0</v>
      </c>
      <c r="B349" s="3">
        <v>2022.0</v>
      </c>
      <c r="C349" s="3">
        <v>8.0</v>
      </c>
      <c r="D349" s="3" t="s">
        <v>8</v>
      </c>
      <c r="E349" s="3">
        <v>113.96</v>
      </c>
      <c r="F349" s="3">
        <v>139.39</v>
      </c>
      <c r="G349" s="3">
        <v>81.8</v>
      </c>
      <c r="H349" s="5" t="str">
        <f t="shared" si="1"/>
        <v>August 2022</v>
      </c>
      <c r="I349" s="6">
        <f t="shared" si="2"/>
        <v>44774</v>
      </c>
    </row>
    <row r="350">
      <c r="A350" s="2">
        <v>44805.0</v>
      </c>
      <c r="B350" s="3">
        <v>2022.0</v>
      </c>
      <c r="C350" s="3">
        <v>9.0</v>
      </c>
      <c r="D350" s="3" t="s">
        <v>8</v>
      </c>
      <c r="E350" s="3">
        <v>111.79</v>
      </c>
      <c r="F350" s="3">
        <v>129.95</v>
      </c>
      <c r="G350" s="3">
        <v>86.0</v>
      </c>
      <c r="H350" s="5" t="str">
        <f t="shared" si="1"/>
        <v>September 2022</v>
      </c>
      <c r="I350" s="6">
        <f t="shared" si="2"/>
        <v>44805</v>
      </c>
    </row>
    <row r="351">
      <c r="A351" s="4">
        <v>44835.0</v>
      </c>
      <c r="B351" s="3">
        <v>2022.0</v>
      </c>
      <c r="C351" s="3">
        <v>10.0</v>
      </c>
      <c r="D351" s="3" t="s">
        <v>8</v>
      </c>
      <c r="E351" s="3">
        <v>111.06</v>
      </c>
      <c r="F351" s="3">
        <v>133.08</v>
      </c>
      <c r="G351" s="3">
        <v>83.5</v>
      </c>
      <c r="H351" s="5" t="str">
        <f t="shared" si="1"/>
        <v>October 2022</v>
      </c>
      <c r="I351" s="6">
        <f t="shared" si="2"/>
        <v>44835</v>
      </c>
    </row>
    <row r="352">
      <c r="A352" s="4">
        <v>44866.0</v>
      </c>
      <c r="B352" s="3">
        <v>2022.0</v>
      </c>
      <c r="C352" s="3">
        <v>11.0</v>
      </c>
      <c r="D352" s="3" t="s">
        <v>8</v>
      </c>
      <c r="E352" s="3">
        <v>100.08</v>
      </c>
      <c r="F352" s="3">
        <v>125.1</v>
      </c>
      <c r="G352" s="3">
        <v>80.0</v>
      </c>
      <c r="H352" s="5" t="str">
        <f t="shared" si="1"/>
        <v>November 2022</v>
      </c>
      <c r="I352" s="6">
        <f t="shared" si="2"/>
        <v>44866</v>
      </c>
    </row>
    <row r="353">
      <c r="A353" s="4">
        <v>44896.0</v>
      </c>
      <c r="B353" s="3">
        <v>2022.0</v>
      </c>
      <c r="C353" s="3">
        <v>12.0</v>
      </c>
      <c r="D353" s="3" t="s">
        <v>8</v>
      </c>
      <c r="E353" s="3">
        <v>96.5</v>
      </c>
      <c r="F353" s="3">
        <v>117.19</v>
      </c>
      <c r="G353" s="3">
        <v>82.3</v>
      </c>
      <c r="H353" s="5" t="str">
        <f t="shared" si="1"/>
        <v>December 2022</v>
      </c>
      <c r="I353" s="6">
        <f t="shared" si="2"/>
        <v>44896</v>
      </c>
    </row>
    <row r="354">
      <c r="A354" s="2">
        <v>44927.0</v>
      </c>
      <c r="B354" s="3">
        <v>2023.0</v>
      </c>
      <c r="C354" s="3">
        <v>1.0</v>
      </c>
      <c r="D354" s="3" t="s">
        <v>8</v>
      </c>
      <c r="E354" s="3">
        <v>86.82</v>
      </c>
      <c r="F354" s="3">
        <v>106.35</v>
      </c>
      <c r="G354" s="3">
        <v>81.6</v>
      </c>
      <c r="H354" s="5" t="str">
        <f t="shared" si="1"/>
        <v>January 2023</v>
      </c>
      <c r="I354" s="6">
        <f t="shared" si="2"/>
        <v>44927</v>
      </c>
    </row>
    <row r="355">
      <c r="A355" s="2">
        <v>44958.0</v>
      </c>
      <c r="B355" s="3">
        <v>2023.0</v>
      </c>
      <c r="C355" s="3">
        <v>2.0</v>
      </c>
      <c r="D355" s="3" t="s">
        <v>8</v>
      </c>
      <c r="E355" s="3">
        <v>90.81</v>
      </c>
      <c r="F355" s="3">
        <v>111.33</v>
      </c>
      <c r="G355" s="3">
        <v>81.6</v>
      </c>
      <c r="H355" s="5" t="str">
        <f t="shared" si="1"/>
        <v>February 2023</v>
      </c>
      <c r="I355" s="6">
        <f t="shared" si="2"/>
        <v>44958</v>
      </c>
    </row>
    <row r="356">
      <c r="A356" s="2">
        <v>44986.0</v>
      </c>
      <c r="B356" s="3">
        <v>2023.0</v>
      </c>
      <c r="C356" s="3">
        <v>3.0</v>
      </c>
      <c r="D356" s="3" t="s">
        <v>8</v>
      </c>
      <c r="E356" s="3">
        <v>91.78</v>
      </c>
      <c r="F356" s="3">
        <v>113.41</v>
      </c>
      <c r="G356" s="3">
        <v>80.9</v>
      </c>
      <c r="H356" s="5" t="str">
        <f t="shared" si="1"/>
        <v>March 2023</v>
      </c>
      <c r="I356" s="6">
        <f t="shared" si="2"/>
        <v>44986</v>
      </c>
    </row>
    <row r="357">
      <c r="A357" s="2">
        <v>45017.0</v>
      </c>
      <c r="B357" s="3">
        <v>2023.0</v>
      </c>
      <c r="C357" s="3">
        <v>4.0</v>
      </c>
      <c r="D357" s="3" t="s">
        <v>8</v>
      </c>
      <c r="E357" s="3">
        <v>100.64</v>
      </c>
      <c r="F357" s="3">
        <v>122.46</v>
      </c>
      <c r="G357" s="3">
        <v>82.2</v>
      </c>
      <c r="H357" s="5" t="str">
        <f t="shared" si="1"/>
        <v>April 2023</v>
      </c>
      <c r="I357" s="6">
        <f t="shared" si="2"/>
        <v>45017</v>
      </c>
    </row>
    <row r="358">
      <c r="A358" s="2">
        <v>45047.0</v>
      </c>
      <c r="B358" s="3">
        <v>2023.0</v>
      </c>
      <c r="C358" s="3">
        <v>5.0</v>
      </c>
      <c r="D358" s="3" t="s">
        <v>8</v>
      </c>
      <c r="E358" s="3">
        <v>112.69</v>
      </c>
      <c r="F358" s="3">
        <v>133.9</v>
      </c>
      <c r="G358" s="3">
        <v>84.2</v>
      </c>
      <c r="H358" s="5" t="str">
        <f t="shared" si="1"/>
        <v>May 2023</v>
      </c>
      <c r="I358" s="6">
        <f t="shared" si="2"/>
        <v>45047</v>
      </c>
    </row>
    <row r="359">
      <c r="A359" s="2">
        <v>45078.0</v>
      </c>
      <c r="B359" s="3">
        <v>2023.0</v>
      </c>
      <c r="C359" s="3">
        <v>6.0</v>
      </c>
      <c r="D359" s="3" t="s">
        <v>8</v>
      </c>
      <c r="E359" s="3">
        <v>119.3</v>
      </c>
      <c r="F359" s="3">
        <v>147.12</v>
      </c>
      <c r="G359" s="3">
        <v>81.1</v>
      </c>
      <c r="H359" s="5" t="str">
        <f t="shared" si="1"/>
        <v>June 2023</v>
      </c>
      <c r="I359" s="6">
        <f t="shared" si="2"/>
        <v>45078</v>
      </c>
    </row>
    <row r="360">
      <c r="A360" s="2">
        <v>45108.0</v>
      </c>
      <c r="B360" s="3">
        <v>2023.0</v>
      </c>
      <c r="C360" s="3">
        <v>7.0</v>
      </c>
      <c r="D360" s="3" t="s">
        <v>8</v>
      </c>
      <c r="E360" s="3">
        <v>129.65</v>
      </c>
      <c r="F360" s="3">
        <v>155.79</v>
      </c>
      <c r="G360" s="3">
        <v>83.2</v>
      </c>
      <c r="H360" s="5" t="str">
        <f t="shared" si="1"/>
        <v>July 2023</v>
      </c>
      <c r="I360" s="6">
        <f t="shared" si="2"/>
        <v>45108</v>
      </c>
    </row>
    <row r="361">
      <c r="A361" s="2">
        <v>45139.0</v>
      </c>
      <c r="B361" s="3">
        <v>2023.0</v>
      </c>
      <c r="C361" s="3">
        <v>8.0</v>
      </c>
      <c r="D361" s="3" t="s">
        <v>8</v>
      </c>
      <c r="E361" s="3">
        <v>130.02</v>
      </c>
      <c r="F361" s="3">
        <v>155.56</v>
      </c>
      <c r="G361" s="3">
        <v>83.6</v>
      </c>
      <c r="H361" s="5" t="str">
        <f t="shared" si="1"/>
        <v>August 2023</v>
      </c>
      <c r="I361" s="6">
        <f t="shared" si="2"/>
        <v>45139</v>
      </c>
    </row>
    <row r="362">
      <c r="A362" s="2">
        <v>45170.0</v>
      </c>
      <c r="B362" s="3">
        <v>2023.0</v>
      </c>
      <c r="C362" s="3">
        <v>9.0</v>
      </c>
      <c r="D362" s="3" t="s">
        <v>8</v>
      </c>
      <c r="E362" s="3">
        <v>134.78</v>
      </c>
      <c r="F362" s="3">
        <v>159.35</v>
      </c>
      <c r="G362" s="3">
        <v>84.6</v>
      </c>
      <c r="H362" s="5" t="str">
        <f t="shared" si="1"/>
        <v>September 2023</v>
      </c>
      <c r="I362" s="6">
        <f t="shared" si="2"/>
        <v>45170</v>
      </c>
    </row>
    <row r="363">
      <c r="A363" s="4">
        <v>45200.0</v>
      </c>
      <c r="B363" s="3">
        <v>2023.0</v>
      </c>
      <c r="C363" s="3">
        <v>10.0</v>
      </c>
      <c r="D363" s="3" t="s">
        <v>8</v>
      </c>
      <c r="E363" s="3">
        <v>132.81</v>
      </c>
      <c r="F363" s="3">
        <v>165.46</v>
      </c>
      <c r="G363" s="3">
        <v>80.3</v>
      </c>
      <c r="H363" s="5" t="str">
        <f t="shared" si="1"/>
        <v>October 2023</v>
      </c>
      <c r="I363" s="6">
        <f t="shared" si="2"/>
        <v>45200</v>
      </c>
    </row>
    <row r="364">
      <c r="A364" s="4">
        <v>45231.0</v>
      </c>
      <c r="B364" s="3">
        <v>2023.0</v>
      </c>
      <c r="C364" s="3">
        <v>11.0</v>
      </c>
      <c r="D364" s="3" t="s">
        <v>8</v>
      </c>
      <c r="E364" s="3">
        <v>118.47</v>
      </c>
      <c r="F364" s="3">
        <v>144.43</v>
      </c>
      <c r="G364" s="3">
        <v>82.0</v>
      </c>
      <c r="H364" s="5" t="str">
        <f t="shared" si="1"/>
        <v>November 2023</v>
      </c>
      <c r="I364" s="6">
        <f t="shared" si="2"/>
        <v>45231</v>
      </c>
    </row>
    <row r="365">
      <c r="A365" s="4">
        <v>45261.0</v>
      </c>
      <c r="B365" s="3">
        <v>2023.0</v>
      </c>
      <c r="C365" s="3">
        <v>12.0</v>
      </c>
      <c r="D365" s="3" t="s">
        <v>8</v>
      </c>
      <c r="E365" s="3">
        <v>110.4</v>
      </c>
      <c r="F365" s="3">
        <v>136.81</v>
      </c>
      <c r="G365" s="3">
        <v>80.7</v>
      </c>
      <c r="H365" s="5" t="str">
        <f t="shared" si="1"/>
        <v>December 2023</v>
      </c>
      <c r="I365" s="6">
        <f t="shared" si="2"/>
        <v>45261</v>
      </c>
    </row>
    <row r="366">
      <c r="A366" s="2">
        <v>45292.0</v>
      </c>
      <c r="B366" s="3">
        <v>2024.0</v>
      </c>
      <c r="C366" s="3">
        <v>1.0</v>
      </c>
      <c r="D366" s="3" t="s">
        <v>8</v>
      </c>
      <c r="E366" s="3">
        <v>100.69</v>
      </c>
      <c r="F366" s="3">
        <v>122.52</v>
      </c>
      <c r="G366" s="3">
        <v>82.2</v>
      </c>
      <c r="H366" s="5" t="str">
        <f t="shared" si="1"/>
        <v>January 2024</v>
      </c>
      <c r="I366" s="6">
        <f t="shared" si="2"/>
        <v>45292</v>
      </c>
    </row>
    <row r="367">
      <c r="A367" s="2">
        <v>45323.0</v>
      </c>
      <c r="B367" s="3">
        <v>2024.0</v>
      </c>
      <c r="C367" s="3">
        <v>2.0</v>
      </c>
      <c r="D367" s="3" t="s">
        <v>8</v>
      </c>
      <c r="E367" s="3">
        <v>100.82</v>
      </c>
      <c r="F367" s="3">
        <v>122.69</v>
      </c>
      <c r="G367" s="3">
        <v>82.2</v>
      </c>
      <c r="H367" s="5" t="str">
        <f t="shared" si="1"/>
        <v>February 2024</v>
      </c>
      <c r="I367" s="6">
        <f t="shared" si="2"/>
        <v>45323</v>
      </c>
    </row>
    <row r="368">
      <c r="A368" s="2">
        <v>45352.0</v>
      </c>
      <c r="B368" s="3">
        <v>2024.0</v>
      </c>
      <c r="C368" s="3">
        <v>3.0</v>
      </c>
      <c r="D368" s="3" t="s">
        <v>8</v>
      </c>
      <c r="E368" s="3">
        <v>103.44</v>
      </c>
      <c r="F368" s="3">
        <v>129.62</v>
      </c>
      <c r="G368" s="3">
        <v>79.8</v>
      </c>
      <c r="H368" s="5" t="str">
        <f t="shared" si="1"/>
        <v>March 2024</v>
      </c>
      <c r="I368" s="6">
        <f t="shared" si="2"/>
        <v>45352</v>
      </c>
    </row>
    <row r="369">
      <c r="A369" s="2">
        <v>45383.0</v>
      </c>
      <c r="B369" s="3">
        <v>2024.0</v>
      </c>
      <c r="C369" s="3">
        <v>4.0</v>
      </c>
      <c r="D369" s="3" t="s">
        <v>8</v>
      </c>
      <c r="E369" s="3">
        <v>113.76</v>
      </c>
      <c r="F369" s="3">
        <v>138.23</v>
      </c>
      <c r="G369" s="3">
        <v>82.3</v>
      </c>
      <c r="H369" s="5" t="str">
        <f t="shared" si="1"/>
        <v>April 2024</v>
      </c>
      <c r="I369" s="6">
        <f t="shared" si="2"/>
        <v>45383</v>
      </c>
    </row>
    <row r="370">
      <c r="A370" s="2">
        <v>45413.0</v>
      </c>
      <c r="B370" s="3">
        <v>2024.0</v>
      </c>
      <c r="C370" s="3">
        <v>5.0</v>
      </c>
      <c r="D370" s="3" t="s">
        <v>8</v>
      </c>
      <c r="E370" s="3">
        <v>124.65</v>
      </c>
      <c r="F370" s="3">
        <v>144.32</v>
      </c>
      <c r="G370" s="3">
        <v>86.4</v>
      </c>
      <c r="H370" s="5" t="str">
        <f t="shared" si="1"/>
        <v>May 2024</v>
      </c>
      <c r="I370" s="6">
        <f t="shared" si="2"/>
        <v>45413</v>
      </c>
    </row>
    <row r="371">
      <c r="A371" s="2">
        <v>45444.0</v>
      </c>
      <c r="B371" s="3">
        <v>2024.0</v>
      </c>
      <c r="C371" s="3">
        <v>6.0</v>
      </c>
      <c r="D371" s="3" t="s">
        <v>8</v>
      </c>
      <c r="E371" s="3">
        <v>133.19</v>
      </c>
      <c r="F371" s="3">
        <v>160.53</v>
      </c>
      <c r="G371" s="3">
        <v>83.0</v>
      </c>
      <c r="H371" s="5" t="str">
        <f t="shared" si="1"/>
        <v>June 2024</v>
      </c>
      <c r="I371" s="6">
        <f t="shared" si="2"/>
        <v>45444</v>
      </c>
    </row>
    <row r="372">
      <c r="A372" s="2">
        <v>45474.0</v>
      </c>
      <c r="B372" s="3">
        <v>2024.0</v>
      </c>
      <c r="C372" s="3">
        <v>7.0</v>
      </c>
      <c r="D372" s="3" t="s">
        <v>8</v>
      </c>
      <c r="E372" s="3">
        <v>134.83</v>
      </c>
      <c r="F372" s="3">
        <v>169.76</v>
      </c>
      <c r="G372" s="3">
        <v>79.4</v>
      </c>
      <c r="H372" s="5" t="str">
        <f t="shared" si="1"/>
        <v>July 2024</v>
      </c>
      <c r="I372" s="6">
        <f t="shared" si="2"/>
        <v>45474</v>
      </c>
    </row>
    <row r="373">
      <c r="A373" s="2">
        <v>45505.0</v>
      </c>
      <c r="B373" s="3">
        <v>2024.0</v>
      </c>
      <c r="C373" s="3">
        <v>8.0</v>
      </c>
      <c r="D373" s="3" t="s">
        <v>8</v>
      </c>
      <c r="E373" s="3">
        <v>149.08</v>
      </c>
      <c r="F373" s="3">
        <v>186.0</v>
      </c>
      <c r="G373" s="3">
        <v>80.2</v>
      </c>
      <c r="H373" s="5" t="str">
        <f t="shared" si="1"/>
        <v>August 2024</v>
      </c>
      <c r="I373" s="6">
        <f t="shared" si="2"/>
        <v>45505</v>
      </c>
    </row>
    <row r="374">
      <c r="A374" s="2">
        <v>45536.0</v>
      </c>
      <c r="B374" s="3">
        <v>2024.0</v>
      </c>
      <c r="C374" s="3">
        <v>9.0</v>
      </c>
      <c r="D374" s="3" t="s">
        <v>8</v>
      </c>
      <c r="E374" s="3">
        <v>135.79</v>
      </c>
      <c r="F374" s="3">
        <v>165.75</v>
      </c>
      <c r="G374" s="3">
        <v>81.9</v>
      </c>
      <c r="H374" s="5" t="str">
        <f t="shared" si="1"/>
        <v>September 2024</v>
      </c>
      <c r="I374" s="6">
        <f t="shared" si="2"/>
        <v>45536</v>
      </c>
    </row>
    <row r="375">
      <c r="A375" s="4">
        <v>45566.0</v>
      </c>
      <c r="B375" s="3">
        <v>2024.0</v>
      </c>
      <c r="C375" s="3">
        <v>10.0</v>
      </c>
      <c r="D375" s="3" t="s">
        <v>8</v>
      </c>
      <c r="E375" s="3">
        <v>133.34</v>
      </c>
      <c r="F375" s="3">
        <v>166.27</v>
      </c>
      <c r="G375" s="3">
        <v>80.2</v>
      </c>
      <c r="H375" s="5" t="str">
        <f t="shared" si="1"/>
        <v>October 2024</v>
      </c>
      <c r="I375" s="6">
        <f t="shared" si="2"/>
        <v>45566</v>
      </c>
    </row>
    <row r="376">
      <c r="A376" s="4">
        <v>45597.0</v>
      </c>
      <c r="B376" s="3">
        <v>2024.0</v>
      </c>
      <c r="C376" s="3">
        <v>11.0</v>
      </c>
      <c r="D376" s="3" t="s">
        <v>8</v>
      </c>
      <c r="E376" s="3">
        <v>123.61</v>
      </c>
      <c r="F376" s="3">
        <v>146.36</v>
      </c>
      <c r="G376" s="3">
        <v>84.5</v>
      </c>
      <c r="H376" s="5" t="str">
        <f t="shared" si="1"/>
        <v>November 2024</v>
      </c>
      <c r="I376" s="6">
        <f t="shared" si="2"/>
        <v>45597</v>
      </c>
    </row>
    <row r="377">
      <c r="A377" s="4">
        <v>45627.0</v>
      </c>
      <c r="B377" s="3">
        <v>2024.0</v>
      </c>
      <c r="C377" s="3">
        <v>12.0</v>
      </c>
      <c r="D377" s="3" t="s">
        <v>8</v>
      </c>
      <c r="E377" s="3">
        <v>112.98</v>
      </c>
      <c r="F377" s="3">
        <v>142.62</v>
      </c>
      <c r="G377" s="3">
        <v>79.2</v>
      </c>
      <c r="H377" s="5" t="str">
        <f t="shared" si="1"/>
        <v>December 2024</v>
      </c>
      <c r="I377" s="6">
        <f t="shared" si="2"/>
        <v>45627</v>
      </c>
    </row>
    <row r="378">
      <c r="A378" s="2">
        <v>45658.0</v>
      </c>
      <c r="B378" s="3">
        <v>2025.0</v>
      </c>
      <c r="C378" s="3">
        <v>1.0</v>
      </c>
      <c r="D378" s="3" t="s">
        <v>8</v>
      </c>
      <c r="E378" s="3">
        <v>112.33</v>
      </c>
      <c r="F378" s="3">
        <v>135.36</v>
      </c>
      <c r="G378" s="3">
        <v>83.0</v>
      </c>
      <c r="H378" s="5" t="str">
        <f t="shared" si="1"/>
        <v>January 2025</v>
      </c>
      <c r="I378" s="6">
        <f t="shared" si="2"/>
        <v>45658</v>
      </c>
    </row>
    <row r="379">
      <c r="A379" s="2">
        <v>45689.0</v>
      </c>
      <c r="B379" s="3">
        <v>2025.0</v>
      </c>
      <c r="C379" s="3">
        <v>2.0</v>
      </c>
      <c r="D379" s="3" t="s">
        <v>8</v>
      </c>
      <c r="E379" s="3">
        <v>105.02</v>
      </c>
      <c r="F379" s="3">
        <v>133.21</v>
      </c>
      <c r="G379" s="3">
        <v>78.8</v>
      </c>
      <c r="H379" s="5" t="str">
        <f t="shared" si="1"/>
        <v>February 2025</v>
      </c>
      <c r="I379" s="6">
        <f t="shared" si="2"/>
        <v>45689</v>
      </c>
    </row>
    <row r="380">
      <c r="A380" s="2">
        <v>45717.0</v>
      </c>
      <c r="B380" s="3">
        <v>2025.0</v>
      </c>
      <c r="C380" s="3">
        <v>3.0</v>
      </c>
      <c r="D380" s="3" t="s">
        <v>8</v>
      </c>
      <c r="E380" s="3">
        <v>107.42</v>
      </c>
      <c r="F380" s="3">
        <v>131.18</v>
      </c>
      <c r="G380" s="3">
        <v>81.9</v>
      </c>
      <c r="H380" s="5" t="str">
        <f t="shared" si="1"/>
        <v>March 2025</v>
      </c>
      <c r="I380" s="6">
        <f t="shared" si="2"/>
        <v>45717</v>
      </c>
    </row>
    <row r="381">
      <c r="A381" s="2">
        <v>45748.0</v>
      </c>
      <c r="B381" s="3">
        <v>2025.0</v>
      </c>
      <c r="C381" s="3">
        <v>4.0</v>
      </c>
      <c r="D381" s="3" t="s">
        <v>8</v>
      </c>
      <c r="E381" s="3">
        <v>121.3</v>
      </c>
      <c r="F381" s="3">
        <v>151.76</v>
      </c>
      <c r="G381" s="3">
        <v>79.9</v>
      </c>
      <c r="H381" s="5" t="str">
        <f t="shared" si="1"/>
        <v>April 2025</v>
      </c>
      <c r="I381" s="6">
        <f t="shared" si="2"/>
        <v>45748</v>
      </c>
    </row>
    <row r="382">
      <c r="A382" s="2">
        <v>45778.0</v>
      </c>
      <c r="B382" s="3">
        <v>2025.0</v>
      </c>
      <c r="C382" s="3">
        <v>5.0</v>
      </c>
      <c r="D382" s="3" t="s">
        <v>8</v>
      </c>
      <c r="E382" s="3">
        <v>126.68</v>
      </c>
      <c r="F382" s="3">
        <v>151.98</v>
      </c>
      <c r="G382" s="3">
        <v>83.4</v>
      </c>
      <c r="H382" s="5" t="str">
        <f t="shared" si="1"/>
        <v>May 2025</v>
      </c>
      <c r="I382" s="6">
        <f t="shared" si="2"/>
        <v>45778</v>
      </c>
    </row>
    <row r="383">
      <c r="A383" s="2">
        <v>45809.0</v>
      </c>
      <c r="B383" s="3">
        <v>2025.0</v>
      </c>
      <c r="C383" s="3">
        <v>6.0</v>
      </c>
      <c r="D383" s="3" t="s">
        <v>8</v>
      </c>
      <c r="E383" s="3">
        <v>127.49</v>
      </c>
      <c r="F383" s="3">
        <v>151.65</v>
      </c>
      <c r="G383" s="3">
        <v>84.1</v>
      </c>
      <c r="H383" s="5" t="str">
        <f t="shared" si="1"/>
        <v>June 2025</v>
      </c>
      <c r="I383" s="6">
        <f t="shared" si="2"/>
        <v>45809</v>
      </c>
    </row>
    <row r="384">
      <c r="A384" s="2">
        <v>45839.0</v>
      </c>
      <c r="B384" s="3">
        <v>2025.0</v>
      </c>
      <c r="C384" s="3">
        <v>7.0</v>
      </c>
      <c r="D384" s="3" t="s">
        <v>8</v>
      </c>
      <c r="E384" s="3">
        <v>139.31</v>
      </c>
      <c r="F384" s="3">
        <v>168.53</v>
      </c>
      <c r="G384" s="3">
        <v>82.7</v>
      </c>
      <c r="H384" s="5" t="str">
        <f t="shared" si="1"/>
        <v>July 2025</v>
      </c>
      <c r="I384" s="6">
        <f t="shared" si="2"/>
        <v>45839</v>
      </c>
    </row>
    <row r="385">
      <c r="A385" s="2">
        <v>45870.0</v>
      </c>
      <c r="B385" s="3">
        <v>2025.0</v>
      </c>
      <c r="C385" s="3">
        <v>8.0</v>
      </c>
      <c r="D385" s="3" t="s">
        <v>8</v>
      </c>
      <c r="E385" s="3">
        <v>148.44</v>
      </c>
      <c r="F385" s="3">
        <v>176.36</v>
      </c>
      <c r="G385" s="3">
        <v>84.2</v>
      </c>
      <c r="H385" s="5" t="str">
        <f t="shared" si="1"/>
        <v>August 2025</v>
      </c>
      <c r="I385" s="6">
        <f t="shared" si="2"/>
        <v>45870</v>
      </c>
    </row>
    <row r="386">
      <c r="A386" s="2">
        <v>45901.0</v>
      </c>
      <c r="B386" s="3">
        <v>2025.0</v>
      </c>
      <c r="C386" s="3">
        <v>9.0</v>
      </c>
      <c r="D386" s="3" t="s">
        <v>8</v>
      </c>
      <c r="E386" s="3">
        <v>147.61</v>
      </c>
      <c r="F386" s="3">
        <v>191.1</v>
      </c>
      <c r="G386" s="3">
        <v>77.2</v>
      </c>
      <c r="H386" s="5" t="str">
        <f t="shared" si="1"/>
        <v>September 2025</v>
      </c>
      <c r="I386" s="6">
        <f t="shared" si="2"/>
        <v>45901</v>
      </c>
    </row>
    <row r="387">
      <c r="A387" s="4">
        <v>45931.0</v>
      </c>
      <c r="B387" s="3">
        <v>2025.0</v>
      </c>
      <c r="C387" s="3">
        <v>10.0</v>
      </c>
      <c r="D387" s="3" t="s">
        <v>8</v>
      </c>
      <c r="E387" s="3">
        <v>135.32</v>
      </c>
      <c r="F387" s="3">
        <v>164.47</v>
      </c>
      <c r="G387" s="3">
        <v>82.3</v>
      </c>
      <c r="H387" s="5" t="str">
        <f t="shared" si="1"/>
        <v>October 2025</v>
      </c>
      <c r="I387" s="6">
        <f t="shared" si="2"/>
        <v>45931</v>
      </c>
    </row>
    <row r="388">
      <c r="A388" s="4">
        <v>45962.0</v>
      </c>
      <c r="B388" s="3">
        <v>2025.0</v>
      </c>
      <c r="C388" s="3">
        <v>11.0</v>
      </c>
      <c r="D388" s="3" t="s">
        <v>8</v>
      </c>
      <c r="E388" s="3">
        <v>128.5</v>
      </c>
      <c r="F388" s="3">
        <v>154.9</v>
      </c>
      <c r="G388" s="3">
        <v>83.0</v>
      </c>
      <c r="H388" s="5" t="str">
        <f t="shared" si="1"/>
        <v>November 2025</v>
      </c>
      <c r="I388" s="6">
        <f t="shared" si="2"/>
        <v>45962</v>
      </c>
    </row>
    <row r="389">
      <c r="A389" s="4">
        <v>45992.0</v>
      </c>
      <c r="B389" s="3">
        <v>2025.0</v>
      </c>
      <c r="C389" s="3">
        <v>12.0</v>
      </c>
      <c r="D389" s="3" t="s">
        <v>8</v>
      </c>
      <c r="E389" s="3">
        <v>122.78</v>
      </c>
      <c r="F389" s="3">
        <v>147.54</v>
      </c>
      <c r="G389" s="3">
        <v>83.2</v>
      </c>
      <c r="H389" s="5" t="str">
        <f t="shared" si="1"/>
        <v>December 2025</v>
      </c>
      <c r="I389" s="6">
        <f t="shared" si="2"/>
        <v>45992</v>
      </c>
    </row>
    <row r="390">
      <c r="A390" s="2">
        <v>46023.0</v>
      </c>
      <c r="B390" s="3">
        <v>2026.0</v>
      </c>
      <c r="C390" s="3">
        <v>1.0</v>
      </c>
      <c r="D390" s="3" t="s">
        <v>8</v>
      </c>
      <c r="E390" s="3">
        <v>112.39</v>
      </c>
      <c r="F390" s="3">
        <v>143.52</v>
      </c>
      <c r="G390" s="3">
        <v>78.3</v>
      </c>
      <c r="H390" s="5" t="str">
        <f t="shared" si="1"/>
        <v>January 2026</v>
      </c>
      <c r="I390" s="6">
        <f t="shared" si="2"/>
        <v>46023</v>
      </c>
    </row>
    <row r="391">
      <c r="A391" s="2">
        <v>46054.0</v>
      </c>
      <c r="B391" s="3">
        <v>2026.0</v>
      </c>
      <c r="C391" s="3">
        <v>2.0</v>
      </c>
      <c r="D391" s="3" t="s">
        <v>8</v>
      </c>
      <c r="E391" s="3">
        <v>109.0</v>
      </c>
      <c r="F391" s="3">
        <v>131.59</v>
      </c>
      <c r="G391" s="3">
        <v>82.8</v>
      </c>
      <c r="H391" s="5" t="str">
        <f t="shared" si="1"/>
        <v>February 2026</v>
      </c>
      <c r="I391" s="6">
        <f t="shared" si="2"/>
        <v>46054</v>
      </c>
    </row>
    <row r="392">
      <c r="A392" s="2">
        <v>46082.0</v>
      </c>
      <c r="B392" s="3">
        <v>2026.0</v>
      </c>
      <c r="C392" s="3">
        <v>3.0</v>
      </c>
      <c r="D392" s="3" t="s">
        <v>8</v>
      </c>
      <c r="E392" s="3">
        <v>109.47</v>
      </c>
      <c r="F392" s="3">
        <v>131.48</v>
      </c>
      <c r="G392" s="3">
        <v>83.3</v>
      </c>
      <c r="H392" s="5" t="str">
        <f t="shared" si="1"/>
        <v>March 2026</v>
      </c>
      <c r="I392" s="6">
        <f t="shared" si="2"/>
        <v>46082</v>
      </c>
    </row>
    <row r="393">
      <c r="A393" s="2">
        <v>46113.0</v>
      </c>
      <c r="B393" s="3">
        <v>2026.0</v>
      </c>
      <c r="C393" s="3">
        <v>4.0</v>
      </c>
      <c r="D393" s="3" t="s">
        <v>8</v>
      </c>
      <c r="E393" s="3">
        <v>123.57</v>
      </c>
      <c r="F393" s="3">
        <v>150.23</v>
      </c>
      <c r="G393" s="3">
        <v>82.3</v>
      </c>
      <c r="H393" s="5" t="str">
        <f t="shared" si="1"/>
        <v>April 2026</v>
      </c>
      <c r="I393" s="6">
        <f t="shared" si="2"/>
        <v>46113</v>
      </c>
    </row>
    <row r="394">
      <c r="A394" s="2">
        <v>40179.0</v>
      </c>
      <c r="B394" s="3">
        <v>2010.0</v>
      </c>
      <c r="C394" s="3">
        <v>1.0</v>
      </c>
      <c r="D394" s="3" t="s">
        <v>9</v>
      </c>
      <c r="E394" s="3">
        <v>61.91</v>
      </c>
      <c r="F394" s="3">
        <v>77.93</v>
      </c>
      <c r="G394" s="3">
        <v>79.4</v>
      </c>
      <c r="H394" s="5" t="str">
        <f t="shared" si="1"/>
        <v>January 2010</v>
      </c>
      <c r="I394" s="6">
        <f t="shared" si="2"/>
        <v>40179</v>
      </c>
    </row>
    <row r="395">
      <c r="A395" s="2">
        <v>40210.0</v>
      </c>
      <c r="B395" s="3">
        <v>2010.0</v>
      </c>
      <c r="C395" s="3">
        <v>2.0</v>
      </c>
      <c r="D395" s="3" t="s">
        <v>9</v>
      </c>
      <c r="E395" s="3">
        <v>70.64</v>
      </c>
      <c r="F395" s="3">
        <v>87.31</v>
      </c>
      <c r="G395" s="3">
        <v>80.9</v>
      </c>
      <c r="H395" s="5" t="str">
        <f t="shared" si="1"/>
        <v>February 2010</v>
      </c>
      <c r="I395" s="6">
        <f t="shared" si="2"/>
        <v>40210</v>
      </c>
    </row>
    <row r="396">
      <c r="A396" s="2">
        <v>40238.0</v>
      </c>
      <c r="B396" s="3">
        <v>2010.0</v>
      </c>
      <c r="C396" s="3">
        <v>3.0</v>
      </c>
      <c r="D396" s="3" t="s">
        <v>9</v>
      </c>
      <c r="E396" s="3">
        <v>64.82</v>
      </c>
      <c r="F396" s="3">
        <v>76.74</v>
      </c>
      <c r="G396" s="3">
        <v>84.5</v>
      </c>
      <c r="H396" s="5" t="str">
        <f t="shared" si="1"/>
        <v>March 2010</v>
      </c>
      <c r="I396" s="6">
        <f t="shared" si="2"/>
        <v>40238</v>
      </c>
    </row>
    <row r="397">
      <c r="A397" s="2">
        <v>40269.0</v>
      </c>
      <c r="B397" s="3">
        <v>2010.0</v>
      </c>
      <c r="C397" s="3">
        <v>4.0</v>
      </c>
      <c r="D397" s="3" t="s">
        <v>9</v>
      </c>
      <c r="E397" s="3">
        <v>73.66</v>
      </c>
      <c r="F397" s="3">
        <v>87.47</v>
      </c>
      <c r="G397" s="3">
        <v>84.2</v>
      </c>
      <c r="H397" s="5" t="str">
        <f t="shared" si="1"/>
        <v>April 2010</v>
      </c>
      <c r="I397" s="6">
        <f t="shared" si="2"/>
        <v>40269</v>
      </c>
    </row>
    <row r="398">
      <c r="A398" s="2">
        <v>40299.0</v>
      </c>
      <c r="B398" s="3">
        <v>2010.0</v>
      </c>
      <c r="C398" s="3">
        <v>5.0</v>
      </c>
      <c r="D398" s="3" t="s">
        <v>9</v>
      </c>
      <c r="E398" s="3">
        <v>80.8</v>
      </c>
      <c r="F398" s="3">
        <v>97.45</v>
      </c>
      <c r="G398" s="3">
        <v>82.9</v>
      </c>
      <c r="H398" s="5" t="str">
        <f t="shared" si="1"/>
        <v>May 2010</v>
      </c>
      <c r="I398" s="6">
        <f t="shared" si="2"/>
        <v>40299</v>
      </c>
    </row>
    <row r="399">
      <c r="A399" s="2">
        <v>40330.0</v>
      </c>
      <c r="B399" s="3">
        <v>2010.0</v>
      </c>
      <c r="C399" s="3">
        <v>6.0</v>
      </c>
      <c r="D399" s="3" t="s">
        <v>9</v>
      </c>
      <c r="E399" s="3">
        <v>87.67</v>
      </c>
      <c r="F399" s="3">
        <v>105.12</v>
      </c>
      <c r="G399" s="3">
        <v>83.4</v>
      </c>
      <c r="H399" s="5" t="str">
        <f t="shared" si="1"/>
        <v>June 2010</v>
      </c>
      <c r="I399" s="6">
        <f t="shared" si="2"/>
        <v>40330</v>
      </c>
    </row>
    <row r="400">
      <c r="A400" s="2">
        <v>40360.0</v>
      </c>
      <c r="B400" s="3">
        <v>2010.0</v>
      </c>
      <c r="C400" s="3">
        <v>7.0</v>
      </c>
      <c r="D400" s="3" t="s">
        <v>9</v>
      </c>
      <c r="E400" s="3">
        <v>98.24</v>
      </c>
      <c r="F400" s="3">
        <v>117.03</v>
      </c>
      <c r="G400" s="3">
        <v>83.9</v>
      </c>
      <c r="H400" s="5" t="str">
        <f t="shared" si="1"/>
        <v>July 2010</v>
      </c>
      <c r="I400" s="6">
        <f t="shared" si="2"/>
        <v>40360</v>
      </c>
    </row>
    <row r="401">
      <c r="A401" s="2">
        <v>40391.0</v>
      </c>
      <c r="B401" s="3">
        <v>2010.0</v>
      </c>
      <c r="C401" s="3">
        <v>8.0</v>
      </c>
      <c r="D401" s="3" t="s">
        <v>9</v>
      </c>
      <c r="E401" s="3">
        <v>89.64</v>
      </c>
      <c r="F401" s="3">
        <v>108.14</v>
      </c>
      <c r="G401" s="3">
        <v>82.9</v>
      </c>
      <c r="H401" s="5" t="str">
        <f t="shared" si="1"/>
        <v>August 2010</v>
      </c>
      <c r="I401" s="6">
        <f t="shared" si="2"/>
        <v>40391</v>
      </c>
    </row>
    <row r="402">
      <c r="A402" s="2">
        <v>40422.0</v>
      </c>
      <c r="B402" s="3">
        <v>2010.0</v>
      </c>
      <c r="C402" s="3">
        <v>9.0</v>
      </c>
      <c r="D402" s="3" t="s">
        <v>9</v>
      </c>
      <c r="E402" s="3">
        <v>96.19</v>
      </c>
      <c r="F402" s="3">
        <v>113.96</v>
      </c>
      <c r="G402" s="3">
        <v>84.4</v>
      </c>
      <c r="H402" s="5" t="str">
        <f t="shared" si="1"/>
        <v>September 2010</v>
      </c>
      <c r="I402" s="6">
        <f t="shared" si="2"/>
        <v>40422</v>
      </c>
    </row>
    <row r="403">
      <c r="A403" s="4">
        <v>40452.0</v>
      </c>
      <c r="B403" s="3">
        <v>2010.0</v>
      </c>
      <c r="C403" s="3">
        <v>10.0</v>
      </c>
      <c r="D403" s="3" t="s">
        <v>9</v>
      </c>
      <c r="E403" s="3">
        <v>87.88</v>
      </c>
      <c r="F403" s="3">
        <v>104.21</v>
      </c>
      <c r="G403" s="3">
        <v>84.3</v>
      </c>
      <c r="H403" s="5" t="str">
        <f t="shared" si="1"/>
        <v>October 2010</v>
      </c>
      <c r="I403" s="6">
        <f t="shared" si="2"/>
        <v>40452</v>
      </c>
    </row>
    <row r="404">
      <c r="A404" s="4">
        <v>40483.0</v>
      </c>
      <c r="B404" s="3">
        <v>2010.0</v>
      </c>
      <c r="C404" s="3">
        <v>11.0</v>
      </c>
      <c r="D404" s="3" t="s">
        <v>9</v>
      </c>
      <c r="E404" s="3">
        <v>85.69</v>
      </c>
      <c r="F404" s="3">
        <v>98.32</v>
      </c>
      <c r="G404" s="3">
        <v>87.1</v>
      </c>
      <c r="H404" s="5" t="str">
        <f t="shared" si="1"/>
        <v>November 2010</v>
      </c>
      <c r="I404" s="6">
        <f t="shared" si="2"/>
        <v>40483</v>
      </c>
    </row>
    <row r="405">
      <c r="A405" s="4">
        <v>40513.0</v>
      </c>
      <c r="B405" s="3">
        <v>2010.0</v>
      </c>
      <c r="C405" s="3">
        <v>12.0</v>
      </c>
      <c r="D405" s="3" t="s">
        <v>9</v>
      </c>
      <c r="E405" s="3">
        <v>75.85</v>
      </c>
      <c r="F405" s="3">
        <v>93.66</v>
      </c>
      <c r="G405" s="3">
        <v>81.0</v>
      </c>
      <c r="H405" s="5" t="str">
        <f t="shared" si="1"/>
        <v>December 2010</v>
      </c>
      <c r="I405" s="6">
        <f t="shared" si="2"/>
        <v>40513</v>
      </c>
    </row>
    <row r="406">
      <c r="A406" s="2">
        <v>40544.0</v>
      </c>
      <c r="B406" s="3">
        <v>2011.0</v>
      </c>
      <c r="C406" s="3">
        <v>1.0</v>
      </c>
      <c r="D406" s="3" t="s">
        <v>9</v>
      </c>
      <c r="E406" s="3">
        <v>72.76</v>
      </c>
      <c r="F406" s="3">
        <v>89.81</v>
      </c>
      <c r="G406" s="3">
        <v>81.0</v>
      </c>
      <c r="H406" s="5" t="str">
        <f t="shared" si="1"/>
        <v>January 2011</v>
      </c>
      <c r="I406" s="6">
        <f t="shared" si="2"/>
        <v>40544</v>
      </c>
    </row>
    <row r="407">
      <c r="A407" s="2">
        <v>40575.0</v>
      </c>
      <c r="B407" s="3">
        <v>2011.0</v>
      </c>
      <c r="C407" s="3">
        <v>2.0</v>
      </c>
      <c r="D407" s="3" t="s">
        <v>9</v>
      </c>
      <c r="E407" s="3">
        <v>70.29</v>
      </c>
      <c r="F407" s="3">
        <v>91.91</v>
      </c>
      <c r="G407" s="3">
        <v>76.5</v>
      </c>
      <c r="H407" s="5" t="str">
        <f t="shared" si="1"/>
        <v>February 2011</v>
      </c>
      <c r="I407" s="6">
        <f t="shared" si="2"/>
        <v>40575</v>
      </c>
    </row>
    <row r="408">
      <c r="A408" s="2">
        <v>40603.0</v>
      </c>
      <c r="B408" s="3">
        <v>2011.0</v>
      </c>
      <c r="C408" s="3">
        <v>3.0</v>
      </c>
      <c r="D408" s="3" t="s">
        <v>9</v>
      </c>
      <c r="E408" s="3">
        <v>73.4</v>
      </c>
      <c r="F408" s="3">
        <v>88.71</v>
      </c>
      <c r="G408" s="3">
        <v>82.7</v>
      </c>
      <c r="H408" s="5" t="str">
        <f t="shared" si="1"/>
        <v>March 2011</v>
      </c>
      <c r="I408" s="6">
        <f t="shared" si="2"/>
        <v>40603</v>
      </c>
    </row>
    <row r="409">
      <c r="A409" s="2">
        <v>40634.0</v>
      </c>
      <c r="B409" s="3">
        <v>2011.0</v>
      </c>
      <c r="C409" s="3">
        <v>4.0</v>
      </c>
      <c r="D409" s="3" t="s">
        <v>9</v>
      </c>
      <c r="E409" s="3">
        <v>78.38</v>
      </c>
      <c r="F409" s="3">
        <v>91.28</v>
      </c>
      <c r="G409" s="3">
        <v>85.9</v>
      </c>
      <c r="H409" s="5" t="str">
        <f t="shared" si="1"/>
        <v>April 2011</v>
      </c>
      <c r="I409" s="6">
        <f t="shared" si="2"/>
        <v>40634</v>
      </c>
    </row>
    <row r="410">
      <c r="A410" s="2">
        <v>40664.0</v>
      </c>
      <c r="B410" s="3">
        <v>2011.0</v>
      </c>
      <c r="C410" s="3">
        <v>5.0</v>
      </c>
      <c r="D410" s="3" t="s">
        <v>9</v>
      </c>
      <c r="E410" s="3">
        <v>86.57</v>
      </c>
      <c r="F410" s="3">
        <v>102.35</v>
      </c>
      <c r="G410" s="3">
        <v>84.6</v>
      </c>
      <c r="H410" s="5" t="str">
        <f t="shared" si="1"/>
        <v>May 2011</v>
      </c>
      <c r="I410" s="6">
        <f t="shared" si="2"/>
        <v>40664</v>
      </c>
    </row>
    <row r="411">
      <c r="A411" s="2">
        <v>40695.0</v>
      </c>
      <c r="B411" s="3">
        <v>2011.0</v>
      </c>
      <c r="C411" s="3">
        <v>6.0</v>
      </c>
      <c r="D411" s="3" t="s">
        <v>9</v>
      </c>
      <c r="E411" s="3">
        <v>94.33</v>
      </c>
      <c r="F411" s="3">
        <v>112.77</v>
      </c>
      <c r="G411" s="3">
        <v>83.7</v>
      </c>
      <c r="H411" s="5" t="str">
        <f t="shared" si="1"/>
        <v>June 2011</v>
      </c>
      <c r="I411" s="6">
        <f t="shared" si="2"/>
        <v>40695</v>
      </c>
    </row>
    <row r="412">
      <c r="A412" s="2">
        <v>40725.0</v>
      </c>
      <c r="B412" s="3">
        <v>2011.0</v>
      </c>
      <c r="C412" s="3">
        <v>7.0</v>
      </c>
      <c r="D412" s="3" t="s">
        <v>9</v>
      </c>
      <c r="E412" s="3">
        <v>99.81</v>
      </c>
      <c r="F412" s="3">
        <v>117.79</v>
      </c>
      <c r="G412" s="3">
        <v>84.7</v>
      </c>
      <c r="H412" s="5" t="str">
        <f t="shared" si="1"/>
        <v>July 2011</v>
      </c>
      <c r="I412" s="6">
        <f t="shared" si="2"/>
        <v>40725</v>
      </c>
    </row>
    <row r="413">
      <c r="A413" s="2">
        <v>40756.0</v>
      </c>
      <c r="B413" s="3">
        <v>2011.0</v>
      </c>
      <c r="C413" s="3">
        <v>8.0</v>
      </c>
      <c r="D413" s="3" t="s">
        <v>9</v>
      </c>
      <c r="E413" s="3">
        <v>101.52</v>
      </c>
      <c r="F413" s="3">
        <v>122.33</v>
      </c>
      <c r="G413" s="3">
        <v>83.0</v>
      </c>
      <c r="H413" s="5" t="str">
        <f t="shared" si="1"/>
        <v>August 2011</v>
      </c>
      <c r="I413" s="6">
        <f t="shared" si="2"/>
        <v>40756</v>
      </c>
    </row>
    <row r="414">
      <c r="A414" s="2">
        <v>40787.0</v>
      </c>
      <c r="B414" s="3">
        <v>2011.0</v>
      </c>
      <c r="C414" s="3">
        <v>9.0</v>
      </c>
      <c r="D414" s="3" t="s">
        <v>9</v>
      </c>
      <c r="E414" s="3">
        <v>101.29</v>
      </c>
      <c r="F414" s="3">
        <v>124.4</v>
      </c>
      <c r="G414" s="3">
        <v>81.4</v>
      </c>
      <c r="H414" s="5" t="str">
        <f t="shared" si="1"/>
        <v>September 2011</v>
      </c>
      <c r="I414" s="6">
        <f t="shared" si="2"/>
        <v>40787</v>
      </c>
    </row>
    <row r="415">
      <c r="A415" s="4">
        <v>40817.0</v>
      </c>
      <c r="B415" s="3">
        <v>2011.0</v>
      </c>
      <c r="C415" s="3">
        <v>10.0</v>
      </c>
      <c r="D415" s="3" t="s">
        <v>9</v>
      </c>
      <c r="E415" s="3">
        <v>97.06</v>
      </c>
      <c r="F415" s="3">
        <v>112.25</v>
      </c>
      <c r="G415" s="3">
        <v>86.5</v>
      </c>
      <c r="H415" s="5" t="str">
        <f t="shared" si="1"/>
        <v>October 2011</v>
      </c>
      <c r="I415" s="6">
        <f t="shared" si="2"/>
        <v>40817</v>
      </c>
    </row>
    <row r="416">
      <c r="A416" s="4">
        <v>40848.0</v>
      </c>
      <c r="B416" s="3">
        <v>2011.0</v>
      </c>
      <c r="C416" s="3">
        <v>11.0</v>
      </c>
      <c r="D416" s="3" t="s">
        <v>9</v>
      </c>
      <c r="E416" s="3">
        <v>89.01</v>
      </c>
      <c r="F416" s="3">
        <v>107.45</v>
      </c>
      <c r="G416" s="3">
        <v>82.8</v>
      </c>
      <c r="H416" s="5" t="str">
        <f t="shared" si="1"/>
        <v>November 2011</v>
      </c>
      <c r="I416" s="6">
        <f t="shared" si="2"/>
        <v>40848</v>
      </c>
    </row>
    <row r="417">
      <c r="A417" s="4">
        <v>40878.0</v>
      </c>
      <c r="B417" s="3">
        <v>2011.0</v>
      </c>
      <c r="C417" s="3">
        <v>12.0</v>
      </c>
      <c r="D417" s="3" t="s">
        <v>9</v>
      </c>
      <c r="E417" s="3">
        <v>86.71</v>
      </c>
      <c r="F417" s="3">
        <v>102.88</v>
      </c>
      <c r="G417" s="3">
        <v>84.3</v>
      </c>
      <c r="H417" s="5" t="str">
        <f t="shared" si="1"/>
        <v>December 2011</v>
      </c>
      <c r="I417" s="6">
        <f t="shared" si="2"/>
        <v>40878</v>
      </c>
    </row>
    <row r="418">
      <c r="A418" s="2">
        <v>40909.0</v>
      </c>
      <c r="B418" s="3">
        <v>2012.0</v>
      </c>
      <c r="C418" s="3">
        <v>1.0</v>
      </c>
      <c r="D418" s="3" t="s">
        <v>9</v>
      </c>
      <c r="E418" s="3">
        <v>79.03</v>
      </c>
      <c r="F418" s="3">
        <v>102.33</v>
      </c>
      <c r="G418" s="3">
        <v>77.2</v>
      </c>
      <c r="H418" s="5" t="str">
        <f t="shared" si="1"/>
        <v>January 2012</v>
      </c>
      <c r="I418" s="6">
        <f t="shared" si="2"/>
        <v>40909</v>
      </c>
    </row>
    <row r="419">
      <c r="A419" s="2">
        <v>40940.0</v>
      </c>
      <c r="B419" s="3">
        <v>2012.0</v>
      </c>
      <c r="C419" s="3">
        <v>2.0</v>
      </c>
      <c r="D419" s="3" t="s">
        <v>9</v>
      </c>
      <c r="E419" s="3">
        <v>78.85</v>
      </c>
      <c r="F419" s="3">
        <v>101.66</v>
      </c>
      <c r="G419" s="3">
        <v>77.6</v>
      </c>
      <c r="H419" s="5" t="str">
        <f t="shared" si="1"/>
        <v>February 2012</v>
      </c>
      <c r="I419" s="6">
        <f t="shared" si="2"/>
        <v>40940</v>
      </c>
    </row>
    <row r="420">
      <c r="A420" s="2">
        <v>40969.0</v>
      </c>
      <c r="B420" s="3">
        <v>2012.0</v>
      </c>
      <c r="C420" s="3">
        <v>3.0</v>
      </c>
      <c r="D420" s="3" t="s">
        <v>9</v>
      </c>
      <c r="E420" s="3">
        <v>83.54</v>
      </c>
      <c r="F420" s="3">
        <v>101.45</v>
      </c>
      <c r="G420" s="3">
        <v>82.3</v>
      </c>
      <c r="H420" s="5" t="str">
        <f t="shared" si="1"/>
        <v>March 2012</v>
      </c>
      <c r="I420" s="6">
        <f t="shared" si="2"/>
        <v>40969</v>
      </c>
    </row>
    <row r="421">
      <c r="A421" s="2">
        <v>41000.0</v>
      </c>
      <c r="B421" s="3">
        <v>2012.0</v>
      </c>
      <c r="C421" s="3">
        <v>4.0</v>
      </c>
      <c r="D421" s="3" t="s">
        <v>9</v>
      </c>
      <c r="E421" s="3">
        <v>88.07</v>
      </c>
      <c r="F421" s="3">
        <v>109.82</v>
      </c>
      <c r="G421" s="3">
        <v>80.2</v>
      </c>
      <c r="H421" s="5" t="str">
        <f t="shared" si="1"/>
        <v>April 2012</v>
      </c>
      <c r="I421" s="6">
        <f t="shared" si="2"/>
        <v>41000</v>
      </c>
    </row>
    <row r="422">
      <c r="A422" s="2">
        <v>41030.0</v>
      </c>
      <c r="B422" s="3">
        <v>2012.0</v>
      </c>
      <c r="C422" s="3">
        <v>5.0</v>
      </c>
      <c r="D422" s="3" t="s">
        <v>9</v>
      </c>
      <c r="E422" s="3">
        <v>88.7</v>
      </c>
      <c r="F422" s="3">
        <v>107.49</v>
      </c>
      <c r="G422" s="3">
        <v>82.5</v>
      </c>
      <c r="H422" s="5" t="str">
        <f t="shared" si="1"/>
        <v>May 2012</v>
      </c>
      <c r="I422" s="6">
        <f t="shared" si="2"/>
        <v>41030</v>
      </c>
    </row>
    <row r="423">
      <c r="A423" s="2">
        <v>41061.0</v>
      </c>
      <c r="B423" s="3">
        <v>2012.0</v>
      </c>
      <c r="C423" s="3">
        <v>6.0</v>
      </c>
      <c r="D423" s="3" t="s">
        <v>9</v>
      </c>
      <c r="E423" s="3">
        <v>100.38</v>
      </c>
      <c r="F423" s="3">
        <v>123.89</v>
      </c>
      <c r="G423" s="3">
        <v>81.0</v>
      </c>
      <c r="H423" s="5" t="str">
        <f t="shared" si="1"/>
        <v>June 2012</v>
      </c>
      <c r="I423" s="6">
        <f t="shared" si="2"/>
        <v>41061</v>
      </c>
    </row>
    <row r="424">
      <c r="A424" s="2">
        <v>41091.0</v>
      </c>
      <c r="B424" s="3">
        <v>2012.0</v>
      </c>
      <c r="C424" s="3">
        <v>7.0</v>
      </c>
      <c r="D424" s="3" t="s">
        <v>9</v>
      </c>
      <c r="E424" s="3">
        <v>106.48</v>
      </c>
      <c r="F424" s="3">
        <v>121.64</v>
      </c>
      <c r="G424" s="3">
        <v>87.5</v>
      </c>
      <c r="H424" s="5" t="str">
        <f t="shared" si="1"/>
        <v>July 2012</v>
      </c>
      <c r="I424" s="6">
        <f t="shared" si="2"/>
        <v>41091</v>
      </c>
    </row>
    <row r="425">
      <c r="A425" s="2">
        <v>41122.0</v>
      </c>
      <c r="B425" s="3">
        <v>2012.0</v>
      </c>
      <c r="C425" s="3">
        <v>8.0</v>
      </c>
      <c r="D425" s="3" t="s">
        <v>9</v>
      </c>
      <c r="E425" s="3">
        <v>111.47</v>
      </c>
      <c r="F425" s="3">
        <v>132.55</v>
      </c>
      <c r="G425" s="3">
        <v>84.1</v>
      </c>
      <c r="H425" s="5" t="str">
        <f t="shared" si="1"/>
        <v>August 2012</v>
      </c>
      <c r="I425" s="6">
        <f t="shared" si="2"/>
        <v>41122</v>
      </c>
    </row>
    <row r="426">
      <c r="A426" s="2">
        <v>41153.0</v>
      </c>
      <c r="B426" s="3">
        <v>2012.0</v>
      </c>
      <c r="C426" s="3">
        <v>9.0</v>
      </c>
      <c r="D426" s="3" t="s">
        <v>9</v>
      </c>
      <c r="E426" s="3">
        <v>110.17</v>
      </c>
      <c r="F426" s="3">
        <v>129.67</v>
      </c>
      <c r="G426" s="3">
        <v>85.0</v>
      </c>
      <c r="H426" s="5" t="str">
        <f t="shared" si="1"/>
        <v>September 2012</v>
      </c>
      <c r="I426" s="6">
        <f t="shared" si="2"/>
        <v>41153</v>
      </c>
    </row>
    <row r="427">
      <c r="A427" s="4">
        <v>41183.0</v>
      </c>
      <c r="B427" s="3">
        <v>2012.0</v>
      </c>
      <c r="C427" s="3">
        <v>10.0</v>
      </c>
      <c r="D427" s="3" t="s">
        <v>9</v>
      </c>
      <c r="E427" s="3">
        <v>102.19</v>
      </c>
      <c r="F427" s="3">
        <v>131.19</v>
      </c>
      <c r="G427" s="3">
        <v>77.9</v>
      </c>
      <c r="H427" s="5" t="str">
        <f t="shared" si="1"/>
        <v>October 2012</v>
      </c>
      <c r="I427" s="6">
        <f t="shared" si="2"/>
        <v>41183</v>
      </c>
    </row>
    <row r="428">
      <c r="A428" s="4">
        <v>41214.0</v>
      </c>
      <c r="B428" s="3">
        <v>2012.0</v>
      </c>
      <c r="C428" s="3">
        <v>11.0</v>
      </c>
      <c r="D428" s="3" t="s">
        <v>9</v>
      </c>
      <c r="E428" s="3">
        <v>95.59</v>
      </c>
      <c r="F428" s="3">
        <v>114.31</v>
      </c>
      <c r="G428" s="3">
        <v>83.6</v>
      </c>
      <c r="H428" s="5" t="str">
        <f t="shared" si="1"/>
        <v>November 2012</v>
      </c>
      <c r="I428" s="6">
        <f t="shared" si="2"/>
        <v>41214</v>
      </c>
    </row>
    <row r="429">
      <c r="A429" s="4">
        <v>41244.0</v>
      </c>
      <c r="B429" s="3">
        <v>2012.0</v>
      </c>
      <c r="C429" s="3">
        <v>12.0</v>
      </c>
      <c r="D429" s="3" t="s">
        <v>9</v>
      </c>
      <c r="E429" s="3">
        <v>86.85</v>
      </c>
      <c r="F429" s="3">
        <v>106.38</v>
      </c>
      <c r="G429" s="3">
        <v>81.6</v>
      </c>
      <c r="H429" s="5" t="str">
        <f t="shared" si="1"/>
        <v>December 2012</v>
      </c>
      <c r="I429" s="6">
        <f t="shared" si="2"/>
        <v>41244</v>
      </c>
    </row>
    <row r="430">
      <c r="A430" s="2">
        <v>41275.0</v>
      </c>
      <c r="B430" s="3">
        <v>2013.0</v>
      </c>
      <c r="C430" s="3">
        <v>1.0</v>
      </c>
      <c r="D430" s="3" t="s">
        <v>9</v>
      </c>
      <c r="E430" s="3">
        <v>82.84</v>
      </c>
      <c r="F430" s="3">
        <v>97.45</v>
      </c>
      <c r="G430" s="3">
        <v>85.0</v>
      </c>
      <c r="H430" s="5" t="str">
        <f t="shared" si="1"/>
        <v>January 2013</v>
      </c>
      <c r="I430" s="6">
        <f t="shared" si="2"/>
        <v>41275</v>
      </c>
    </row>
    <row r="431">
      <c r="A431" s="2">
        <v>41306.0</v>
      </c>
      <c r="B431" s="3">
        <v>2013.0</v>
      </c>
      <c r="C431" s="3">
        <v>2.0</v>
      </c>
      <c r="D431" s="3" t="s">
        <v>9</v>
      </c>
      <c r="E431" s="3">
        <v>84.96</v>
      </c>
      <c r="F431" s="3">
        <v>101.99</v>
      </c>
      <c r="G431" s="3">
        <v>83.3</v>
      </c>
      <c r="H431" s="5" t="str">
        <f t="shared" si="1"/>
        <v>February 2013</v>
      </c>
      <c r="I431" s="6">
        <f t="shared" si="2"/>
        <v>41306</v>
      </c>
    </row>
    <row r="432">
      <c r="A432" s="2">
        <v>41334.0</v>
      </c>
      <c r="B432" s="3">
        <v>2013.0</v>
      </c>
      <c r="C432" s="3">
        <v>3.0</v>
      </c>
      <c r="D432" s="3" t="s">
        <v>9</v>
      </c>
      <c r="E432" s="3">
        <v>87.11</v>
      </c>
      <c r="F432" s="3">
        <v>106.33</v>
      </c>
      <c r="G432" s="3">
        <v>81.9</v>
      </c>
      <c r="H432" s="5" t="str">
        <f t="shared" si="1"/>
        <v>March 2013</v>
      </c>
      <c r="I432" s="6">
        <f t="shared" si="2"/>
        <v>41334</v>
      </c>
    </row>
    <row r="433">
      <c r="A433" s="2">
        <v>41365.0</v>
      </c>
      <c r="B433" s="3">
        <v>2013.0</v>
      </c>
      <c r="C433" s="3">
        <v>4.0</v>
      </c>
      <c r="D433" s="3" t="s">
        <v>9</v>
      </c>
      <c r="E433" s="3">
        <v>91.93</v>
      </c>
      <c r="F433" s="3">
        <v>115.45</v>
      </c>
      <c r="G433" s="3">
        <v>79.6</v>
      </c>
      <c r="H433" s="5" t="str">
        <f t="shared" si="1"/>
        <v>April 2013</v>
      </c>
      <c r="I433" s="6">
        <f t="shared" si="2"/>
        <v>41365</v>
      </c>
    </row>
    <row r="434">
      <c r="A434" s="2">
        <v>41395.0</v>
      </c>
      <c r="B434" s="3">
        <v>2013.0</v>
      </c>
      <c r="C434" s="3">
        <v>5.0</v>
      </c>
      <c r="D434" s="3" t="s">
        <v>9</v>
      </c>
      <c r="E434" s="3">
        <v>93.03</v>
      </c>
      <c r="F434" s="3">
        <v>113.03</v>
      </c>
      <c r="G434" s="3">
        <v>82.3</v>
      </c>
      <c r="H434" s="5" t="str">
        <f t="shared" si="1"/>
        <v>May 2013</v>
      </c>
      <c r="I434" s="6">
        <f t="shared" si="2"/>
        <v>41395</v>
      </c>
    </row>
    <row r="435">
      <c r="A435" s="2">
        <v>41426.0</v>
      </c>
      <c r="B435" s="3">
        <v>2013.0</v>
      </c>
      <c r="C435" s="3">
        <v>6.0</v>
      </c>
      <c r="D435" s="3" t="s">
        <v>9</v>
      </c>
      <c r="E435" s="3">
        <v>108.41</v>
      </c>
      <c r="F435" s="3">
        <v>128.41</v>
      </c>
      <c r="G435" s="3">
        <v>84.4</v>
      </c>
      <c r="H435" s="5" t="str">
        <f t="shared" si="1"/>
        <v>June 2013</v>
      </c>
      <c r="I435" s="6">
        <f t="shared" si="2"/>
        <v>41426</v>
      </c>
    </row>
    <row r="436">
      <c r="A436" s="2">
        <v>41456.0</v>
      </c>
      <c r="B436" s="3">
        <v>2013.0</v>
      </c>
      <c r="C436" s="3">
        <v>7.0</v>
      </c>
      <c r="D436" s="3" t="s">
        <v>9</v>
      </c>
      <c r="E436" s="3">
        <v>118.92</v>
      </c>
      <c r="F436" s="3">
        <v>139.67</v>
      </c>
      <c r="G436" s="3">
        <v>85.1</v>
      </c>
      <c r="H436" s="5" t="str">
        <f t="shared" si="1"/>
        <v>July 2013</v>
      </c>
      <c r="I436" s="6">
        <f t="shared" si="2"/>
        <v>41456</v>
      </c>
    </row>
    <row r="437">
      <c r="A437" s="2">
        <v>41487.0</v>
      </c>
      <c r="B437" s="3">
        <v>2013.0</v>
      </c>
      <c r="C437" s="3">
        <v>8.0</v>
      </c>
      <c r="D437" s="3" t="s">
        <v>9</v>
      </c>
      <c r="E437" s="3">
        <v>112.65</v>
      </c>
      <c r="F437" s="3">
        <v>138.57</v>
      </c>
      <c r="G437" s="3">
        <v>81.3</v>
      </c>
      <c r="H437" s="5" t="str">
        <f t="shared" si="1"/>
        <v>August 2013</v>
      </c>
      <c r="I437" s="6">
        <f t="shared" si="2"/>
        <v>41487</v>
      </c>
    </row>
    <row r="438">
      <c r="A438" s="2">
        <v>41518.0</v>
      </c>
      <c r="B438" s="3">
        <v>2013.0</v>
      </c>
      <c r="C438" s="3">
        <v>9.0</v>
      </c>
      <c r="D438" s="3" t="s">
        <v>9</v>
      </c>
      <c r="E438" s="3">
        <v>116.31</v>
      </c>
      <c r="F438" s="3">
        <v>133.59</v>
      </c>
      <c r="G438" s="3">
        <v>87.1</v>
      </c>
      <c r="H438" s="5" t="str">
        <f t="shared" si="1"/>
        <v>September 2013</v>
      </c>
      <c r="I438" s="6">
        <f t="shared" si="2"/>
        <v>41518</v>
      </c>
    </row>
    <row r="439">
      <c r="A439" s="4">
        <v>41548.0</v>
      </c>
      <c r="B439" s="3">
        <v>2013.0</v>
      </c>
      <c r="C439" s="3">
        <v>10.0</v>
      </c>
      <c r="D439" s="3" t="s">
        <v>9</v>
      </c>
      <c r="E439" s="3">
        <v>114.63</v>
      </c>
      <c r="F439" s="3">
        <v>136.08</v>
      </c>
      <c r="G439" s="3">
        <v>84.2</v>
      </c>
      <c r="H439" s="5" t="str">
        <f t="shared" si="1"/>
        <v>October 2013</v>
      </c>
      <c r="I439" s="6">
        <f t="shared" si="2"/>
        <v>41548</v>
      </c>
    </row>
    <row r="440">
      <c r="A440" s="4">
        <v>41579.0</v>
      </c>
      <c r="B440" s="3">
        <v>2013.0</v>
      </c>
      <c r="C440" s="3">
        <v>11.0</v>
      </c>
      <c r="D440" s="3" t="s">
        <v>9</v>
      </c>
      <c r="E440" s="3">
        <v>101.35</v>
      </c>
      <c r="F440" s="3">
        <v>126.32</v>
      </c>
      <c r="G440" s="3">
        <v>80.2</v>
      </c>
      <c r="H440" s="5" t="str">
        <f t="shared" si="1"/>
        <v>November 2013</v>
      </c>
      <c r="I440" s="6">
        <f t="shared" si="2"/>
        <v>41579</v>
      </c>
    </row>
    <row r="441">
      <c r="A441" s="4">
        <v>41609.0</v>
      </c>
      <c r="B441" s="3">
        <v>2013.0</v>
      </c>
      <c r="C441" s="3">
        <v>12.0</v>
      </c>
      <c r="D441" s="3" t="s">
        <v>9</v>
      </c>
      <c r="E441" s="3">
        <v>97.62</v>
      </c>
      <c r="F441" s="3">
        <v>122.33</v>
      </c>
      <c r="G441" s="3">
        <v>79.8</v>
      </c>
      <c r="H441" s="5" t="str">
        <f t="shared" si="1"/>
        <v>December 2013</v>
      </c>
      <c r="I441" s="6">
        <f t="shared" si="2"/>
        <v>41609</v>
      </c>
    </row>
    <row r="442">
      <c r="A442" s="2">
        <v>41640.0</v>
      </c>
      <c r="B442" s="3">
        <v>2014.0</v>
      </c>
      <c r="C442" s="3">
        <v>1.0</v>
      </c>
      <c r="D442" s="3" t="s">
        <v>9</v>
      </c>
      <c r="E442" s="3">
        <v>89.5</v>
      </c>
      <c r="F442" s="3">
        <v>109.45</v>
      </c>
      <c r="G442" s="3">
        <v>81.8</v>
      </c>
      <c r="H442" s="5" t="str">
        <f t="shared" si="1"/>
        <v>January 2014</v>
      </c>
      <c r="I442" s="6">
        <f t="shared" si="2"/>
        <v>41640</v>
      </c>
    </row>
    <row r="443">
      <c r="A443" s="2">
        <v>41671.0</v>
      </c>
      <c r="B443" s="3">
        <v>2014.0</v>
      </c>
      <c r="C443" s="3">
        <v>2.0</v>
      </c>
      <c r="D443" s="3" t="s">
        <v>9</v>
      </c>
      <c r="E443" s="3">
        <v>92.85</v>
      </c>
      <c r="F443" s="3">
        <v>114.21</v>
      </c>
      <c r="G443" s="3">
        <v>81.3</v>
      </c>
      <c r="H443" s="5" t="str">
        <f t="shared" si="1"/>
        <v>February 2014</v>
      </c>
      <c r="I443" s="6">
        <f t="shared" si="2"/>
        <v>41671</v>
      </c>
    </row>
    <row r="444">
      <c r="A444" s="2">
        <v>41699.0</v>
      </c>
      <c r="B444" s="3">
        <v>2014.0</v>
      </c>
      <c r="C444" s="3">
        <v>3.0</v>
      </c>
      <c r="D444" s="3" t="s">
        <v>9</v>
      </c>
      <c r="E444" s="3">
        <v>84.64</v>
      </c>
      <c r="F444" s="3">
        <v>101.97</v>
      </c>
      <c r="G444" s="3">
        <v>83.0</v>
      </c>
      <c r="H444" s="5" t="str">
        <f t="shared" si="1"/>
        <v>March 2014</v>
      </c>
      <c r="I444" s="6">
        <f t="shared" si="2"/>
        <v>41699</v>
      </c>
    </row>
    <row r="445">
      <c r="A445" s="2">
        <v>41730.0</v>
      </c>
      <c r="B445" s="3">
        <v>2014.0</v>
      </c>
      <c r="C445" s="3">
        <v>4.0</v>
      </c>
      <c r="D445" s="3" t="s">
        <v>9</v>
      </c>
      <c r="E445" s="3">
        <v>95.29</v>
      </c>
      <c r="F445" s="3">
        <v>116.09</v>
      </c>
      <c r="G445" s="3">
        <v>82.1</v>
      </c>
      <c r="H445" s="5" t="str">
        <f t="shared" si="1"/>
        <v>April 2014</v>
      </c>
      <c r="I445" s="6">
        <f t="shared" si="2"/>
        <v>41730</v>
      </c>
    </row>
    <row r="446">
      <c r="A446" s="2">
        <v>41760.0</v>
      </c>
      <c r="B446" s="3">
        <v>2014.0</v>
      </c>
      <c r="C446" s="3">
        <v>5.0</v>
      </c>
      <c r="D446" s="3" t="s">
        <v>9</v>
      </c>
      <c r="E446" s="3">
        <v>105.46</v>
      </c>
      <c r="F446" s="3">
        <v>129.47</v>
      </c>
      <c r="G446" s="3">
        <v>81.5</v>
      </c>
      <c r="H446" s="5" t="str">
        <f t="shared" si="1"/>
        <v>May 2014</v>
      </c>
      <c r="I446" s="6">
        <f t="shared" si="2"/>
        <v>41760</v>
      </c>
    </row>
    <row r="447">
      <c r="A447" s="2">
        <v>41791.0</v>
      </c>
      <c r="B447" s="3">
        <v>2014.0</v>
      </c>
      <c r="C447" s="3">
        <v>6.0</v>
      </c>
      <c r="D447" s="3" t="s">
        <v>9</v>
      </c>
      <c r="E447" s="3">
        <v>116.98</v>
      </c>
      <c r="F447" s="3">
        <v>148.2</v>
      </c>
      <c r="G447" s="3">
        <v>78.9</v>
      </c>
      <c r="H447" s="5" t="str">
        <f t="shared" si="1"/>
        <v>June 2014</v>
      </c>
      <c r="I447" s="6">
        <f t="shared" si="2"/>
        <v>41791</v>
      </c>
    </row>
    <row r="448">
      <c r="A448" s="2">
        <v>41821.0</v>
      </c>
      <c r="B448" s="3">
        <v>2014.0</v>
      </c>
      <c r="C448" s="3">
        <v>7.0</v>
      </c>
      <c r="D448" s="3" t="s">
        <v>9</v>
      </c>
      <c r="E448" s="3">
        <v>118.82</v>
      </c>
      <c r="F448" s="3">
        <v>142.52</v>
      </c>
      <c r="G448" s="3">
        <v>83.4</v>
      </c>
      <c r="H448" s="5" t="str">
        <f t="shared" si="1"/>
        <v>July 2014</v>
      </c>
      <c r="I448" s="6">
        <f t="shared" si="2"/>
        <v>41821</v>
      </c>
    </row>
    <row r="449">
      <c r="A449" s="2">
        <v>41852.0</v>
      </c>
      <c r="B449" s="3">
        <v>2014.0</v>
      </c>
      <c r="C449" s="3">
        <v>8.0</v>
      </c>
      <c r="D449" s="3" t="s">
        <v>9</v>
      </c>
      <c r="E449" s="3">
        <v>121.18</v>
      </c>
      <c r="F449" s="3">
        <v>153.82</v>
      </c>
      <c r="G449" s="3">
        <v>78.8</v>
      </c>
      <c r="H449" s="5" t="str">
        <f t="shared" si="1"/>
        <v>August 2014</v>
      </c>
      <c r="I449" s="6">
        <f t="shared" si="2"/>
        <v>41852</v>
      </c>
    </row>
    <row r="450">
      <c r="A450" s="2">
        <v>41883.0</v>
      </c>
      <c r="B450" s="3">
        <v>2014.0</v>
      </c>
      <c r="C450" s="3">
        <v>9.0</v>
      </c>
      <c r="D450" s="3" t="s">
        <v>9</v>
      </c>
      <c r="E450" s="3">
        <v>124.35</v>
      </c>
      <c r="F450" s="3">
        <v>147.6</v>
      </c>
      <c r="G450" s="3">
        <v>84.2</v>
      </c>
      <c r="H450" s="5" t="str">
        <f t="shared" si="1"/>
        <v>September 2014</v>
      </c>
      <c r="I450" s="6">
        <f t="shared" si="2"/>
        <v>41883</v>
      </c>
    </row>
    <row r="451">
      <c r="A451" s="4">
        <v>41913.0</v>
      </c>
      <c r="B451" s="3">
        <v>2014.0</v>
      </c>
      <c r="C451" s="3">
        <v>10.0</v>
      </c>
      <c r="D451" s="3" t="s">
        <v>9</v>
      </c>
      <c r="E451" s="3">
        <v>116.37</v>
      </c>
      <c r="F451" s="3">
        <v>149.05</v>
      </c>
      <c r="G451" s="3">
        <v>78.1</v>
      </c>
      <c r="H451" s="5" t="str">
        <f t="shared" si="1"/>
        <v>October 2014</v>
      </c>
      <c r="I451" s="6">
        <f t="shared" si="2"/>
        <v>41913</v>
      </c>
    </row>
    <row r="452">
      <c r="A452" s="4">
        <v>41944.0</v>
      </c>
      <c r="B452" s="3">
        <v>2014.0</v>
      </c>
      <c r="C452" s="3">
        <v>11.0</v>
      </c>
      <c r="D452" s="3" t="s">
        <v>9</v>
      </c>
      <c r="E452" s="3">
        <v>111.27</v>
      </c>
      <c r="F452" s="3">
        <v>141.41</v>
      </c>
      <c r="G452" s="3">
        <v>78.7</v>
      </c>
      <c r="H452" s="5" t="str">
        <f t="shared" si="1"/>
        <v>November 2014</v>
      </c>
      <c r="I452" s="6">
        <f t="shared" si="2"/>
        <v>41944</v>
      </c>
    </row>
    <row r="453">
      <c r="A453" s="4">
        <v>41974.0</v>
      </c>
      <c r="B453" s="3">
        <v>2014.0</v>
      </c>
      <c r="C453" s="3">
        <v>12.0</v>
      </c>
      <c r="D453" s="3" t="s">
        <v>9</v>
      </c>
      <c r="E453" s="3">
        <v>102.2</v>
      </c>
      <c r="F453" s="3">
        <v>127.39</v>
      </c>
      <c r="G453" s="3">
        <v>80.2</v>
      </c>
      <c r="H453" s="5" t="str">
        <f t="shared" si="1"/>
        <v>December 2014</v>
      </c>
      <c r="I453" s="6">
        <f t="shared" si="2"/>
        <v>41974</v>
      </c>
    </row>
    <row r="454">
      <c r="A454" s="2">
        <v>42005.0</v>
      </c>
      <c r="B454" s="3">
        <v>2015.0</v>
      </c>
      <c r="C454" s="3">
        <v>1.0</v>
      </c>
      <c r="D454" s="3" t="s">
        <v>9</v>
      </c>
      <c r="E454" s="3">
        <v>92.44</v>
      </c>
      <c r="F454" s="3">
        <v>113.96</v>
      </c>
      <c r="G454" s="3">
        <v>81.1</v>
      </c>
      <c r="H454" s="5" t="str">
        <f t="shared" si="1"/>
        <v>January 2015</v>
      </c>
      <c r="I454" s="6">
        <f t="shared" si="2"/>
        <v>42005</v>
      </c>
    </row>
    <row r="455">
      <c r="A455" s="2">
        <v>42036.0</v>
      </c>
      <c r="B455" s="3">
        <v>2015.0</v>
      </c>
      <c r="C455" s="3">
        <v>2.0</v>
      </c>
      <c r="D455" s="3" t="s">
        <v>9</v>
      </c>
      <c r="E455" s="3">
        <v>93.73</v>
      </c>
      <c r="F455" s="3">
        <v>116.13</v>
      </c>
      <c r="G455" s="3">
        <v>80.7</v>
      </c>
      <c r="H455" s="5" t="str">
        <f t="shared" si="1"/>
        <v>February 2015</v>
      </c>
      <c r="I455" s="6">
        <f t="shared" si="2"/>
        <v>42036</v>
      </c>
    </row>
    <row r="456">
      <c r="A456" s="2">
        <v>42064.0</v>
      </c>
      <c r="B456" s="3">
        <v>2015.0</v>
      </c>
      <c r="C456" s="3">
        <v>3.0</v>
      </c>
      <c r="D456" s="3" t="s">
        <v>9</v>
      </c>
      <c r="E456" s="3">
        <v>98.97</v>
      </c>
      <c r="F456" s="3">
        <v>122.02</v>
      </c>
      <c r="G456" s="3">
        <v>81.1</v>
      </c>
      <c r="H456" s="5" t="str">
        <f t="shared" si="1"/>
        <v>March 2015</v>
      </c>
      <c r="I456" s="6">
        <f t="shared" si="2"/>
        <v>42064</v>
      </c>
    </row>
    <row r="457">
      <c r="A457" s="2">
        <v>42095.0</v>
      </c>
      <c r="B457" s="3">
        <v>2015.0</v>
      </c>
      <c r="C457" s="3">
        <v>4.0</v>
      </c>
      <c r="D457" s="3" t="s">
        <v>9</v>
      </c>
      <c r="E457" s="3">
        <v>107.29</v>
      </c>
      <c r="F457" s="3">
        <v>129.95</v>
      </c>
      <c r="G457" s="3">
        <v>82.6</v>
      </c>
      <c r="H457" s="5" t="str">
        <f t="shared" si="1"/>
        <v>April 2015</v>
      </c>
      <c r="I457" s="6">
        <f t="shared" si="2"/>
        <v>42095</v>
      </c>
    </row>
    <row r="458">
      <c r="A458" s="2">
        <v>42125.0</v>
      </c>
      <c r="B458" s="3">
        <v>2015.0</v>
      </c>
      <c r="C458" s="3">
        <v>5.0</v>
      </c>
      <c r="D458" s="3" t="s">
        <v>9</v>
      </c>
      <c r="E458" s="3">
        <v>111.15</v>
      </c>
      <c r="F458" s="3">
        <v>138.47</v>
      </c>
      <c r="G458" s="3">
        <v>80.3</v>
      </c>
      <c r="H458" s="5" t="str">
        <f t="shared" si="1"/>
        <v>May 2015</v>
      </c>
      <c r="I458" s="6">
        <f t="shared" si="2"/>
        <v>42125</v>
      </c>
    </row>
    <row r="459">
      <c r="A459" s="2">
        <v>42156.0</v>
      </c>
      <c r="B459" s="3">
        <v>2015.0</v>
      </c>
      <c r="C459" s="3">
        <v>6.0</v>
      </c>
      <c r="D459" s="3" t="s">
        <v>9</v>
      </c>
      <c r="E459" s="3">
        <v>117.02</v>
      </c>
      <c r="F459" s="3">
        <v>141.71</v>
      </c>
      <c r="G459" s="3">
        <v>82.6</v>
      </c>
      <c r="H459" s="5" t="str">
        <f t="shared" si="1"/>
        <v>June 2015</v>
      </c>
      <c r="I459" s="6">
        <f t="shared" si="2"/>
        <v>42156</v>
      </c>
    </row>
    <row r="460">
      <c r="A460" s="2">
        <v>42186.0</v>
      </c>
      <c r="B460" s="3">
        <v>2015.0</v>
      </c>
      <c r="C460" s="3">
        <v>7.0</v>
      </c>
      <c r="D460" s="3" t="s">
        <v>9</v>
      </c>
      <c r="E460" s="3">
        <v>128.84</v>
      </c>
      <c r="F460" s="3">
        <v>166.78</v>
      </c>
      <c r="G460" s="3">
        <v>77.3</v>
      </c>
      <c r="H460" s="5" t="str">
        <f t="shared" si="1"/>
        <v>July 2015</v>
      </c>
      <c r="I460" s="6">
        <f t="shared" si="2"/>
        <v>42186</v>
      </c>
    </row>
    <row r="461">
      <c r="A461" s="2">
        <v>42217.0</v>
      </c>
      <c r="B461" s="3">
        <v>2015.0</v>
      </c>
      <c r="C461" s="3">
        <v>8.0</v>
      </c>
      <c r="D461" s="3" t="s">
        <v>9</v>
      </c>
      <c r="E461" s="3">
        <v>131.41</v>
      </c>
      <c r="F461" s="3">
        <v>163.86</v>
      </c>
      <c r="G461" s="3">
        <v>80.2</v>
      </c>
      <c r="H461" s="5" t="str">
        <f t="shared" si="1"/>
        <v>August 2015</v>
      </c>
      <c r="I461" s="6">
        <f t="shared" si="2"/>
        <v>42217</v>
      </c>
    </row>
    <row r="462">
      <c r="A462" s="2">
        <v>42248.0</v>
      </c>
      <c r="B462" s="3">
        <v>2015.0</v>
      </c>
      <c r="C462" s="3">
        <v>9.0</v>
      </c>
      <c r="D462" s="3" t="s">
        <v>9</v>
      </c>
      <c r="E462" s="3">
        <v>138.6</v>
      </c>
      <c r="F462" s="3">
        <v>176.35</v>
      </c>
      <c r="G462" s="3">
        <v>78.6</v>
      </c>
      <c r="H462" s="5" t="str">
        <f t="shared" si="1"/>
        <v>September 2015</v>
      </c>
      <c r="I462" s="6">
        <f t="shared" si="2"/>
        <v>42248</v>
      </c>
    </row>
    <row r="463">
      <c r="A463" s="4">
        <v>42278.0</v>
      </c>
      <c r="B463" s="3">
        <v>2015.0</v>
      </c>
      <c r="C463" s="3">
        <v>10.0</v>
      </c>
      <c r="D463" s="3" t="s">
        <v>9</v>
      </c>
      <c r="E463" s="3">
        <v>121.35</v>
      </c>
      <c r="F463" s="3">
        <v>144.09</v>
      </c>
      <c r="G463" s="3">
        <v>84.2</v>
      </c>
      <c r="H463" s="5" t="str">
        <f t="shared" si="1"/>
        <v>October 2015</v>
      </c>
      <c r="I463" s="6">
        <f t="shared" si="2"/>
        <v>42278</v>
      </c>
    </row>
    <row r="464">
      <c r="A464" s="4">
        <v>42309.0</v>
      </c>
      <c r="B464" s="3">
        <v>2015.0</v>
      </c>
      <c r="C464" s="3">
        <v>11.0</v>
      </c>
      <c r="D464" s="3" t="s">
        <v>9</v>
      </c>
      <c r="E464" s="3">
        <v>123.68</v>
      </c>
      <c r="F464" s="3">
        <v>153.62</v>
      </c>
      <c r="G464" s="3">
        <v>80.5</v>
      </c>
      <c r="H464" s="5" t="str">
        <f t="shared" si="1"/>
        <v>November 2015</v>
      </c>
      <c r="I464" s="6">
        <f t="shared" si="2"/>
        <v>42309</v>
      </c>
    </row>
    <row r="465">
      <c r="A465" s="4">
        <v>42339.0</v>
      </c>
      <c r="B465" s="3">
        <v>2015.0</v>
      </c>
      <c r="C465" s="3">
        <v>12.0</v>
      </c>
      <c r="D465" s="3" t="s">
        <v>9</v>
      </c>
      <c r="E465" s="3">
        <v>108.57</v>
      </c>
      <c r="F465" s="3">
        <v>130.45</v>
      </c>
      <c r="G465" s="3">
        <v>83.2</v>
      </c>
      <c r="H465" s="5" t="str">
        <f t="shared" si="1"/>
        <v>December 2015</v>
      </c>
      <c r="I465" s="6">
        <f t="shared" si="2"/>
        <v>42339</v>
      </c>
    </row>
    <row r="466">
      <c r="A466" s="2">
        <v>42370.0</v>
      </c>
      <c r="B466" s="3">
        <v>2016.0</v>
      </c>
      <c r="C466" s="3">
        <v>1.0</v>
      </c>
      <c r="D466" s="3" t="s">
        <v>9</v>
      </c>
      <c r="E466" s="3">
        <v>97.78</v>
      </c>
      <c r="F466" s="3">
        <v>124.91</v>
      </c>
      <c r="G466" s="3">
        <v>78.3</v>
      </c>
      <c r="H466" s="5" t="str">
        <f t="shared" si="1"/>
        <v>January 2016</v>
      </c>
      <c r="I466" s="6">
        <f t="shared" si="2"/>
        <v>42370</v>
      </c>
    </row>
    <row r="467">
      <c r="A467" s="2">
        <v>42401.0</v>
      </c>
      <c r="B467" s="3">
        <v>2016.0</v>
      </c>
      <c r="C467" s="3">
        <v>2.0</v>
      </c>
      <c r="D467" s="3" t="s">
        <v>9</v>
      </c>
      <c r="E467" s="3">
        <v>102.3</v>
      </c>
      <c r="F467" s="3">
        <v>120.22</v>
      </c>
      <c r="G467" s="3">
        <v>85.1</v>
      </c>
      <c r="H467" s="5" t="str">
        <f t="shared" si="1"/>
        <v>February 2016</v>
      </c>
      <c r="I467" s="6">
        <f t="shared" si="2"/>
        <v>42401</v>
      </c>
    </row>
    <row r="468">
      <c r="A468" s="2">
        <v>42430.0</v>
      </c>
      <c r="B468" s="3">
        <v>2016.0</v>
      </c>
      <c r="C468" s="3">
        <v>3.0</v>
      </c>
      <c r="D468" s="3" t="s">
        <v>9</v>
      </c>
      <c r="E468" s="3">
        <v>104.99</v>
      </c>
      <c r="F468" s="3">
        <v>127.72</v>
      </c>
      <c r="G468" s="3">
        <v>82.2</v>
      </c>
      <c r="H468" s="5" t="str">
        <f t="shared" si="1"/>
        <v>March 2016</v>
      </c>
      <c r="I468" s="6">
        <f t="shared" si="2"/>
        <v>42430</v>
      </c>
    </row>
    <row r="469">
      <c r="A469" s="2">
        <v>42461.0</v>
      </c>
      <c r="B469" s="3">
        <v>2016.0</v>
      </c>
      <c r="C469" s="3">
        <v>4.0</v>
      </c>
      <c r="D469" s="3" t="s">
        <v>9</v>
      </c>
      <c r="E469" s="3">
        <v>117.83</v>
      </c>
      <c r="F469" s="3">
        <v>136.67</v>
      </c>
      <c r="G469" s="3">
        <v>86.2</v>
      </c>
      <c r="H469" s="5" t="str">
        <f t="shared" si="1"/>
        <v>April 2016</v>
      </c>
      <c r="I469" s="6">
        <f t="shared" si="2"/>
        <v>42461</v>
      </c>
    </row>
    <row r="470">
      <c r="A470" s="2">
        <v>42491.0</v>
      </c>
      <c r="B470" s="3">
        <v>2016.0</v>
      </c>
      <c r="C470" s="3">
        <v>5.0</v>
      </c>
      <c r="D470" s="3" t="s">
        <v>9</v>
      </c>
      <c r="E470" s="3">
        <v>121.87</v>
      </c>
      <c r="F470" s="3">
        <v>148.69</v>
      </c>
      <c r="G470" s="3">
        <v>82.0</v>
      </c>
      <c r="H470" s="5" t="str">
        <f t="shared" si="1"/>
        <v>May 2016</v>
      </c>
      <c r="I470" s="6">
        <f t="shared" si="2"/>
        <v>42491</v>
      </c>
    </row>
    <row r="471">
      <c r="A471" s="2">
        <v>42522.0</v>
      </c>
      <c r="B471" s="3">
        <v>2016.0</v>
      </c>
      <c r="C471" s="3">
        <v>6.0</v>
      </c>
      <c r="D471" s="3" t="s">
        <v>9</v>
      </c>
      <c r="E471" s="3">
        <v>141.78</v>
      </c>
      <c r="F471" s="3">
        <v>179.57</v>
      </c>
      <c r="G471" s="3">
        <v>79.0</v>
      </c>
      <c r="H471" s="5" t="str">
        <f t="shared" si="1"/>
        <v>June 2016</v>
      </c>
      <c r="I471" s="6">
        <f t="shared" si="2"/>
        <v>42522</v>
      </c>
    </row>
    <row r="472">
      <c r="A472" s="2">
        <v>42552.0</v>
      </c>
      <c r="B472" s="3">
        <v>2016.0</v>
      </c>
      <c r="C472" s="3">
        <v>7.0</v>
      </c>
      <c r="D472" s="3" t="s">
        <v>9</v>
      </c>
      <c r="E472" s="3">
        <v>146.53</v>
      </c>
      <c r="F472" s="3">
        <v>183.25</v>
      </c>
      <c r="G472" s="3">
        <v>80.0</v>
      </c>
      <c r="H472" s="5" t="str">
        <f t="shared" si="1"/>
        <v>July 2016</v>
      </c>
      <c r="I472" s="6">
        <f t="shared" si="2"/>
        <v>42552</v>
      </c>
    </row>
    <row r="473">
      <c r="A473" s="2">
        <v>42583.0</v>
      </c>
      <c r="B473" s="3">
        <v>2016.0</v>
      </c>
      <c r="C473" s="3">
        <v>8.0</v>
      </c>
      <c r="D473" s="3" t="s">
        <v>9</v>
      </c>
      <c r="E473" s="3">
        <v>146.07</v>
      </c>
      <c r="F473" s="3">
        <v>179.19</v>
      </c>
      <c r="G473" s="3">
        <v>81.5</v>
      </c>
      <c r="H473" s="5" t="str">
        <f t="shared" si="1"/>
        <v>August 2016</v>
      </c>
      <c r="I473" s="6">
        <f t="shared" si="2"/>
        <v>42583</v>
      </c>
    </row>
    <row r="474">
      <c r="A474" s="2">
        <v>42614.0</v>
      </c>
      <c r="B474" s="3">
        <v>2016.0</v>
      </c>
      <c r="C474" s="3">
        <v>9.0</v>
      </c>
      <c r="D474" s="3" t="s">
        <v>9</v>
      </c>
      <c r="E474" s="3">
        <v>139.98</v>
      </c>
      <c r="F474" s="3">
        <v>174.9</v>
      </c>
      <c r="G474" s="3">
        <v>80.0</v>
      </c>
      <c r="H474" s="5" t="str">
        <f t="shared" si="1"/>
        <v>September 2016</v>
      </c>
      <c r="I474" s="6">
        <f t="shared" si="2"/>
        <v>42614</v>
      </c>
    </row>
    <row r="475">
      <c r="A475" s="4">
        <v>42644.0</v>
      </c>
      <c r="B475" s="3">
        <v>2016.0</v>
      </c>
      <c r="C475" s="3">
        <v>10.0</v>
      </c>
      <c r="D475" s="3" t="s">
        <v>9</v>
      </c>
      <c r="E475" s="3">
        <v>139.15</v>
      </c>
      <c r="F475" s="3">
        <v>165.68</v>
      </c>
      <c r="G475" s="3">
        <v>84.0</v>
      </c>
      <c r="H475" s="5" t="str">
        <f t="shared" si="1"/>
        <v>October 2016</v>
      </c>
      <c r="I475" s="6">
        <f t="shared" si="2"/>
        <v>42644</v>
      </c>
    </row>
    <row r="476">
      <c r="A476" s="4">
        <v>42675.0</v>
      </c>
      <c r="B476" s="3">
        <v>2016.0</v>
      </c>
      <c r="C476" s="3">
        <v>11.0</v>
      </c>
      <c r="D476" s="3" t="s">
        <v>9</v>
      </c>
      <c r="E476" s="3">
        <v>128.75</v>
      </c>
      <c r="F476" s="3">
        <v>156.74</v>
      </c>
      <c r="G476" s="3">
        <v>82.1</v>
      </c>
      <c r="H476" s="5" t="str">
        <f t="shared" si="1"/>
        <v>November 2016</v>
      </c>
      <c r="I476" s="6">
        <f t="shared" si="2"/>
        <v>42675</v>
      </c>
    </row>
    <row r="477">
      <c r="A477" s="4">
        <v>42705.0</v>
      </c>
      <c r="B477" s="3">
        <v>2016.0</v>
      </c>
      <c r="C477" s="3">
        <v>12.0</v>
      </c>
      <c r="D477" s="3" t="s">
        <v>9</v>
      </c>
      <c r="E477" s="3">
        <v>122.45</v>
      </c>
      <c r="F477" s="3">
        <v>152.95</v>
      </c>
      <c r="G477" s="3">
        <v>80.1</v>
      </c>
      <c r="H477" s="5" t="str">
        <f t="shared" si="1"/>
        <v>December 2016</v>
      </c>
      <c r="I477" s="6">
        <f t="shared" si="2"/>
        <v>42705</v>
      </c>
    </row>
    <row r="478">
      <c r="A478" s="2">
        <v>42736.0</v>
      </c>
      <c r="B478" s="3">
        <v>2017.0</v>
      </c>
      <c r="C478" s="3">
        <v>1.0</v>
      </c>
      <c r="D478" s="3" t="s">
        <v>9</v>
      </c>
      <c r="E478" s="3">
        <v>116.54</v>
      </c>
      <c r="F478" s="3">
        <v>139.34</v>
      </c>
      <c r="G478" s="3">
        <v>83.6</v>
      </c>
      <c r="H478" s="5" t="str">
        <f t="shared" si="1"/>
        <v>January 2017</v>
      </c>
      <c r="I478" s="6">
        <f t="shared" si="2"/>
        <v>42736</v>
      </c>
    </row>
    <row r="479">
      <c r="A479" s="2">
        <v>42767.0</v>
      </c>
      <c r="B479" s="3">
        <v>2017.0</v>
      </c>
      <c r="C479" s="3">
        <v>2.0</v>
      </c>
      <c r="D479" s="3" t="s">
        <v>9</v>
      </c>
      <c r="E479" s="3">
        <v>121.2</v>
      </c>
      <c r="F479" s="3">
        <v>149.17</v>
      </c>
      <c r="G479" s="3">
        <v>81.2</v>
      </c>
      <c r="H479" s="5" t="str">
        <f t="shared" si="1"/>
        <v>February 2017</v>
      </c>
      <c r="I479" s="6">
        <f t="shared" si="2"/>
        <v>42767</v>
      </c>
    </row>
    <row r="480">
      <c r="A480" s="2">
        <v>42795.0</v>
      </c>
      <c r="B480" s="3">
        <v>2017.0</v>
      </c>
      <c r="C480" s="3">
        <v>3.0</v>
      </c>
      <c r="D480" s="3" t="s">
        <v>9</v>
      </c>
      <c r="E480" s="3">
        <v>113.93</v>
      </c>
      <c r="F480" s="3">
        <v>136.38</v>
      </c>
      <c r="G480" s="3">
        <v>83.5</v>
      </c>
      <c r="H480" s="5" t="str">
        <f t="shared" si="1"/>
        <v>March 2017</v>
      </c>
      <c r="I480" s="6">
        <f t="shared" si="2"/>
        <v>42795</v>
      </c>
    </row>
    <row r="481">
      <c r="A481" s="2">
        <v>42826.0</v>
      </c>
      <c r="B481" s="3">
        <v>2017.0</v>
      </c>
      <c r="C481" s="3">
        <v>4.0</v>
      </c>
      <c r="D481" s="3" t="s">
        <v>9</v>
      </c>
      <c r="E481" s="3">
        <v>126.68</v>
      </c>
      <c r="F481" s="3">
        <v>156.53</v>
      </c>
      <c r="G481" s="3">
        <v>80.9</v>
      </c>
      <c r="H481" s="5" t="str">
        <f t="shared" si="1"/>
        <v>April 2017</v>
      </c>
      <c r="I481" s="6">
        <f t="shared" si="2"/>
        <v>42826</v>
      </c>
    </row>
    <row r="482">
      <c r="A482" s="2">
        <v>42856.0</v>
      </c>
      <c r="B482" s="3">
        <v>2017.0</v>
      </c>
      <c r="C482" s="3">
        <v>5.0</v>
      </c>
      <c r="D482" s="3" t="s">
        <v>9</v>
      </c>
      <c r="E482" s="3">
        <v>132.88</v>
      </c>
      <c r="F482" s="3">
        <v>159.94</v>
      </c>
      <c r="G482" s="3">
        <v>83.1</v>
      </c>
      <c r="H482" s="5" t="str">
        <f t="shared" si="1"/>
        <v>May 2017</v>
      </c>
      <c r="I482" s="6">
        <f t="shared" si="2"/>
        <v>42856</v>
      </c>
    </row>
    <row r="483">
      <c r="A483" s="2">
        <v>42887.0</v>
      </c>
      <c r="B483" s="3">
        <v>2017.0</v>
      </c>
      <c r="C483" s="3">
        <v>6.0</v>
      </c>
      <c r="D483" s="3" t="s">
        <v>9</v>
      </c>
      <c r="E483" s="3">
        <v>141.96</v>
      </c>
      <c r="F483" s="3">
        <v>174.87</v>
      </c>
      <c r="G483" s="3">
        <v>81.2</v>
      </c>
      <c r="H483" s="5" t="str">
        <f t="shared" si="1"/>
        <v>June 2017</v>
      </c>
      <c r="I483" s="6">
        <f t="shared" si="2"/>
        <v>42887</v>
      </c>
    </row>
    <row r="484">
      <c r="A484" s="2">
        <v>42917.0</v>
      </c>
      <c r="B484" s="3">
        <v>2017.0</v>
      </c>
      <c r="C484" s="3">
        <v>7.0</v>
      </c>
      <c r="D484" s="3" t="s">
        <v>9</v>
      </c>
      <c r="E484" s="3">
        <v>154.36</v>
      </c>
      <c r="F484" s="3">
        <v>183.78</v>
      </c>
      <c r="G484" s="3">
        <v>84.0</v>
      </c>
      <c r="H484" s="5" t="str">
        <f t="shared" si="1"/>
        <v>July 2017</v>
      </c>
      <c r="I484" s="6">
        <f t="shared" si="2"/>
        <v>42917</v>
      </c>
    </row>
    <row r="485">
      <c r="A485" s="2">
        <v>42948.0</v>
      </c>
      <c r="B485" s="3">
        <v>2017.0</v>
      </c>
      <c r="C485" s="3">
        <v>8.0</v>
      </c>
      <c r="D485" s="3" t="s">
        <v>9</v>
      </c>
      <c r="E485" s="3">
        <v>154.86</v>
      </c>
      <c r="F485" s="3">
        <v>197.74</v>
      </c>
      <c r="G485" s="3">
        <v>78.3</v>
      </c>
      <c r="H485" s="5" t="str">
        <f t="shared" si="1"/>
        <v>August 2017</v>
      </c>
      <c r="I485" s="6">
        <f t="shared" si="2"/>
        <v>42948</v>
      </c>
    </row>
    <row r="486">
      <c r="A486" s="2">
        <v>42979.0</v>
      </c>
      <c r="B486" s="3">
        <v>2017.0</v>
      </c>
      <c r="C486" s="3">
        <v>9.0</v>
      </c>
      <c r="D486" s="3" t="s">
        <v>9</v>
      </c>
      <c r="E486" s="3">
        <v>147.21</v>
      </c>
      <c r="F486" s="3">
        <v>185.22</v>
      </c>
      <c r="G486" s="3">
        <v>79.5</v>
      </c>
      <c r="H486" s="5" t="str">
        <f t="shared" si="1"/>
        <v>September 2017</v>
      </c>
      <c r="I486" s="6">
        <f t="shared" si="2"/>
        <v>42979</v>
      </c>
    </row>
    <row r="487">
      <c r="A487" s="4">
        <v>43009.0</v>
      </c>
      <c r="B487" s="3">
        <v>2017.0</v>
      </c>
      <c r="C487" s="3">
        <v>10.0</v>
      </c>
      <c r="D487" s="3" t="s">
        <v>9</v>
      </c>
      <c r="E487" s="3">
        <v>143.52</v>
      </c>
      <c r="F487" s="3">
        <v>175.69</v>
      </c>
      <c r="G487" s="3">
        <v>81.7</v>
      </c>
      <c r="H487" s="5" t="str">
        <f t="shared" si="1"/>
        <v>October 2017</v>
      </c>
      <c r="I487" s="6">
        <f t="shared" si="2"/>
        <v>43009</v>
      </c>
    </row>
    <row r="488">
      <c r="A488" s="4">
        <v>43040.0</v>
      </c>
      <c r="B488" s="3">
        <v>2017.0</v>
      </c>
      <c r="C488" s="3">
        <v>11.0</v>
      </c>
      <c r="D488" s="3" t="s">
        <v>9</v>
      </c>
      <c r="E488" s="3">
        <v>134.85</v>
      </c>
      <c r="F488" s="3">
        <v>167.32</v>
      </c>
      <c r="G488" s="3">
        <v>80.6</v>
      </c>
      <c r="H488" s="5" t="str">
        <f t="shared" si="1"/>
        <v>November 2017</v>
      </c>
      <c r="I488" s="6">
        <f t="shared" si="2"/>
        <v>43040</v>
      </c>
    </row>
    <row r="489">
      <c r="A489" s="4">
        <v>43070.0</v>
      </c>
      <c r="B489" s="3">
        <v>2017.0</v>
      </c>
      <c r="C489" s="3">
        <v>12.0</v>
      </c>
      <c r="D489" s="3" t="s">
        <v>9</v>
      </c>
      <c r="E489" s="3">
        <v>127.09</v>
      </c>
      <c r="F489" s="3">
        <v>156.67</v>
      </c>
      <c r="G489" s="3">
        <v>81.1</v>
      </c>
      <c r="H489" s="5" t="str">
        <f t="shared" si="1"/>
        <v>December 2017</v>
      </c>
      <c r="I489" s="6">
        <f t="shared" si="2"/>
        <v>43070</v>
      </c>
    </row>
    <row r="490">
      <c r="A490" s="2">
        <v>43101.0</v>
      </c>
      <c r="B490" s="3">
        <v>2018.0</v>
      </c>
      <c r="C490" s="3">
        <v>1.0</v>
      </c>
      <c r="D490" s="3" t="s">
        <v>9</v>
      </c>
      <c r="E490" s="3">
        <v>128.1</v>
      </c>
      <c r="F490" s="3">
        <v>153.74</v>
      </c>
      <c r="G490" s="3">
        <v>83.3</v>
      </c>
      <c r="H490" s="5" t="str">
        <f t="shared" si="1"/>
        <v>January 2018</v>
      </c>
      <c r="I490" s="6">
        <f t="shared" si="2"/>
        <v>43101</v>
      </c>
    </row>
    <row r="491">
      <c r="A491" s="2">
        <v>43132.0</v>
      </c>
      <c r="B491" s="3">
        <v>2018.0</v>
      </c>
      <c r="C491" s="3">
        <v>2.0</v>
      </c>
      <c r="D491" s="3" t="s">
        <v>9</v>
      </c>
      <c r="E491" s="3">
        <v>121.08</v>
      </c>
      <c r="F491" s="3">
        <v>149.33</v>
      </c>
      <c r="G491" s="3">
        <v>81.1</v>
      </c>
      <c r="H491" s="5" t="str">
        <f t="shared" si="1"/>
        <v>February 2018</v>
      </c>
      <c r="I491" s="6">
        <f t="shared" si="2"/>
        <v>43132</v>
      </c>
    </row>
    <row r="492">
      <c r="A492" s="2">
        <v>43160.0</v>
      </c>
      <c r="B492" s="3">
        <v>2018.0</v>
      </c>
      <c r="C492" s="3">
        <v>3.0</v>
      </c>
      <c r="D492" s="3" t="s">
        <v>9</v>
      </c>
      <c r="E492" s="3">
        <v>123.03</v>
      </c>
      <c r="F492" s="3">
        <v>148.85</v>
      </c>
      <c r="G492" s="3">
        <v>82.7</v>
      </c>
      <c r="H492" s="5" t="str">
        <f t="shared" si="1"/>
        <v>March 2018</v>
      </c>
      <c r="I492" s="6">
        <f t="shared" si="2"/>
        <v>43160</v>
      </c>
    </row>
    <row r="493">
      <c r="A493" s="2">
        <v>43191.0</v>
      </c>
      <c r="B493" s="3">
        <v>2018.0</v>
      </c>
      <c r="C493" s="3">
        <v>4.0</v>
      </c>
      <c r="D493" s="3" t="s">
        <v>9</v>
      </c>
      <c r="E493" s="3">
        <v>135.67</v>
      </c>
      <c r="F493" s="3">
        <v>169.2</v>
      </c>
      <c r="G493" s="3">
        <v>80.2</v>
      </c>
      <c r="H493" s="5" t="str">
        <f t="shared" si="1"/>
        <v>April 2018</v>
      </c>
      <c r="I493" s="6">
        <f t="shared" si="2"/>
        <v>43191</v>
      </c>
    </row>
    <row r="494">
      <c r="A494" s="2">
        <v>43221.0</v>
      </c>
      <c r="B494" s="3">
        <v>2018.0</v>
      </c>
      <c r="C494" s="3">
        <v>5.0</v>
      </c>
      <c r="D494" s="3" t="s">
        <v>9</v>
      </c>
      <c r="E494" s="3">
        <v>145.16</v>
      </c>
      <c r="F494" s="3">
        <v>186.25</v>
      </c>
      <c r="G494" s="3">
        <v>77.9</v>
      </c>
      <c r="H494" s="5" t="str">
        <f t="shared" si="1"/>
        <v>May 2018</v>
      </c>
      <c r="I494" s="6">
        <f t="shared" si="2"/>
        <v>43221</v>
      </c>
    </row>
    <row r="495">
      <c r="A495" s="2">
        <v>43252.0</v>
      </c>
      <c r="B495" s="3">
        <v>2018.0</v>
      </c>
      <c r="C495" s="3">
        <v>6.0</v>
      </c>
      <c r="D495" s="3" t="s">
        <v>9</v>
      </c>
      <c r="E495" s="3">
        <v>157.81</v>
      </c>
      <c r="F495" s="3">
        <v>188.94</v>
      </c>
      <c r="G495" s="3">
        <v>83.5</v>
      </c>
      <c r="H495" s="5" t="str">
        <f t="shared" si="1"/>
        <v>June 2018</v>
      </c>
      <c r="I495" s="6">
        <f t="shared" si="2"/>
        <v>43252</v>
      </c>
    </row>
    <row r="496">
      <c r="A496" s="2">
        <v>43282.0</v>
      </c>
      <c r="B496" s="3">
        <v>2018.0</v>
      </c>
      <c r="C496" s="3">
        <v>7.0</v>
      </c>
      <c r="D496" s="3" t="s">
        <v>9</v>
      </c>
      <c r="E496" s="3">
        <v>164.43</v>
      </c>
      <c r="F496" s="3">
        <v>192.01</v>
      </c>
      <c r="G496" s="3">
        <v>85.6</v>
      </c>
      <c r="H496" s="5" t="str">
        <f t="shared" si="1"/>
        <v>July 2018</v>
      </c>
      <c r="I496" s="6">
        <f t="shared" si="2"/>
        <v>43282</v>
      </c>
    </row>
    <row r="497">
      <c r="A497" s="2">
        <v>43313.0</v>
      </c>
      <c r="B497" s="3">
        <v>2018.0</v>
      </c>
      <c r="C497" s="3">
        <v>8.0</v>
      </c>
      <c r="D497" s="3" t="s">
        <v>9</v>
      </c>
      <c r="E497" s="3">
        <v>165.34</v>
      </c>
      <c r="F497" s="3">
        <v>200.57</v>
      </c>
      <c r="G497" s="3">
        <v>82.4</v>
      </c>
      <c r="H497" s="5" t="str">
        <f t="shared" si="1"/>
        <v>August 2018</v>
      </c>
      <c r="I497" s="6">
        <f t="shared" si="2"/>
        <v>43313</v>
      </c>
    </row>
    <row r="498">
      <c r="A498" s="2">
        <v>43344.0</v>
      </c>
      <c r="B498" s="3">
        <v>2018.0</v>
      </c>
      <c r="C498" s="3">
        <v>9.0</v>
      </c>
      <c r="D498" s="3" t="s">
        <v>9</v>
      </c>
      <c r="E498" s="3">
        <v>167.61</v>
      </c>
      <c r="F498" s="3">
        <v>204.9</v>
      </c>
      <c r="G498" s="3">
        <v>81.8</v>
      </c>
      <c r="H498" s="5" t="str">
        <f t="shared" si="1"/>
        <v>September 2018</v>
      </c>
      <c r="I498" s="6">
        <f t="shared" si="2"/>
        <v>43344</v>
      </c>
    </row>
    <row r="499">
      <c r="A499" s="4">
        <v>43374.0</v>
      </c>
      <c r="B499" s="3">
        <v>2018.0</v>
      </c>
      <c r="C499" s="3">
        <v>10.0</v>
      </c>
      <c r="D499" s="3" t="s">
        <v>9</v>
      </c>
      <c r="E499" s="3">
        <v>160.03</v>
      </c>
      <c r="F499" s="3">
        <v>194.65</v>
      </c>
      <c r="G499" s="3">
        <v>82.2</v>
      </c>
      <c r="H499" s="5" t="str">
        <f t="shared" si="1"/>
        <v>October 2018</v>
      </c>
      <c r="I499" s="6">
        <f t="shared" si="2"/>
        <v>43374</v>
      </c>
    </row>
    <row r="500">
      <c r="A500" s="4">
        <v>43405.0</v>
      </c>
      <c r="B500" s="3">
        <v>2018.0</v>
      </c>
      <c r="C500" s="3">
        <v>11.0</v>
      </c>
      <c r="D500" s="3" t="s">
        <v>9</v>
      </c>
      <c r="E500" s="3">
        <v>154.12</v>
      </c>
      <c r="F500" s="3">
        <v>181.84</v>
      </c>
      <c r="G500" s="3">
        <v>84.8</v>
      </c>
      <c r="H500" s="5" t="str">
        <f t="shared" si="1"/>
        <v>November 2018</v>
      </c>
      <c r="I500" s="6">
        <f t="shared" si="2"/>
        <v>43405</v>
      </c>
    </row>
    <row r="501">
      <c r="A501" s="4">
        <v>43435.0</v>
      </c>
      <c r="B501" s="3">
        <v>2018.0</v>
      </c>
      <c r="C501" s="3">
        <v>12.0</v>
      </c>
      <c r="D501" s="3" t="s">
        <v>9</v>
      </c>
      <c r="E501" s="3">
        <v>139.78</v>
      </c>
      <c r="F501" s="3">
        <v>167.14</v>
      </c>
      <c r="G501" s="3">
        <v>83.6</v>
      </c>
      <c r="H501" s="5" t="str">
        <f t="shared" si="1"/>
        <v>December 2018</v>
      </c>
      <c r="I501" s="6">
        <f t="shared" si="2"/>
        <v>43435</v>
      </c>
    </row>
    <row r="502">
      <c r="A502" s="2">
        <v>43466.0</v>
      </c>
      <c r="B502" s="3">
        <v>2019.0</v>
      </c>
      <c r="C502" s="3">
        <v>1.0</v>
      </c>
      <c r="D502" s="3" t="s">
        <v>9</v>
      </c>
      <c r="E502" s="3">
        <v>129.5</v>
      </c>
      <c r="F502" s="3">
        <v>155.03</v>
      </c>
      <c r="G502" s="3">
        <v>83.5</v>
      </c>
      <c r="H502" s="5" t="str">
        <f t="shared" si="1"/>
        <v>January 2019</v>
      </c>
      <c r="I502" s="6">
        <f t="shared" si="2"/>
        <v>43466</v>
      </c>
    </row>
    <row r="503">
      <c r="A503" s="2">
        <v>43497.0</v>
      </c>
      <c r="B503" s="3">
        <v>2019.0</v>
      </c>
      <c r="C503" s="3">
        <v>2.0</v>
      </c>
      <c r="D503" s="3" t="s">
        <v>9</v>
      </c>
      <c r="E503" s="3">
        <v>119.91</v>
      </c>
      <c r="F503" s="3">
        <v>142.44</v>
      </c>
      <c r="G503" s="3">
        <v>84.2</v>
      </c>
      <c r="H503" s="5" t="str">
        <f t="shared" si="1"/>
        <v>February 2019</v>
      </c>
      <c r="I503" s="6">
        <f t="shared" si="2"/>
        <v>43497</v>
      </c>
    </row>
    <row r="504">
      <c r="A504" s="2">
        <v>43525.0</v>
      </c>
      <c r="B504" s="3">
        <v>2019.0</v>
      </c>
      <c r="C504" s="3">
        <v>3.0</v>
      </c>
      <c r="D504" s="3" t="s">
        <v>9</v>
      </c>
      <c r="E504" s="3">
        <v>127.07</v>
      </c>
      <c r="F504" s="3">
        <v>155.42</v>
      </c>
      <c r="G504" s="3">
        <v>81.8</v>
      </c>
      <c r="H504" s="5" t="str">
        <f t="shared" si="1"/>
        <v>March 2019</v>
      </c>
      <c r="I504" s="6">
        <f t="shared" si="2"/>
        <v>43525</v>
      </c>
    </row>
    <row r="505">
      <c r="A505" s="2">
        <v>43556.0</v>
      </c>
      <c r="B505" s="3">
        <v>2019.0</v>
      </c>
      <c r="C505" s="3">
        <v>4.0</v>
      </c>
      <c r="D505" s="3" t="s">
        <v>9</v>
      </c>
      <c r="E505" s="3">
        <v>111.73</v>
      </c>
      <c r="F505" s="3">
        <v>138.1</v>
      </c>
      <c r="G505" s="3">
        <v>80.9</v>
      </c>
      <c r="H505" s="5" t="str">
        <f t="shared" si="1"/>
        <v>April 2019</v>
      </c>
      <c r="I505" s="6">
        <f t="shared" si="2"/>
        <v>43556</v>
      </c>
    </row>
    <row r="506">
      <c r="A506" s="2">
        <v>43586.0</v>
      </c>
      <c r="B506" s="3">
        <v>2019.0</v>
      </c>
      <c r="C506" s="3">
        <v>5.0</v>
      </c>
      <c r="D506" s="3" t="s">
        <v>9</v>
      </c>
      <c r="E506" s="3">
        <v>125.9</v>
      </c>
      <c r="F506" s="3">
        <v>151.49</v>
      </c>
      <c r="G506" s="3">
        <v>83.1</v>
      </c>
      <c r="H506" s="5" t="str">
        <f t="shared" si="1"/>
        <v>May 2019</v>
      </c>
      <c r="I506" s="6">
        <f t="shared" si="2"/>
        <v>43586</v>
      </c>
    </row>
    <row r="507">
      <c r="A507" s="2">
        <v>43617.0</v>
      </c>
      <c r="B507" s="3">
        <v>2019.0</v>
      </c>
      <c r="C507" s="3">
        <v>6.0</v>
      </c>
      <c r="D507" s="3" t="s">
        <v>9</v>
      </c>
      <c r="E507" s="3">
        <v>123.11</v>
      </c>
      <c r="F507" s="3">
        <v>146.53</v>
      </c>
      <c r="G507" s="3">
        <v>84.0</v>
      </c>
      <c r="H507" s="5" t="str">
        <f t="shared" si="1"/>
        <v>June 2019</v>
      </c>
      <c r="I507" s="6">
        <f t="shared" si="2"/>
        <v>43617</v>
      </c>
    </row>
    <row r="508">
      <c r="A508" s="2">
        <v>43647.0</v>
      </c>
      <c r="B508" s="3">
        <v>2019.0</v>
      </c>
      <c r="C508" s="3">
        <v>7.0</v>
      </c>
      <c r="D508" s="3" t="s">
        <v>9</v>
      </c>
      <c r="E508" s="3">
        <v>121.52</v>
      </c>
      <c r="F508" s="3">
        <v>143.92</v>
      </c>
      <c r="G508" s="3">
        <v>84.4</v>
      </c>
      <c r="H508" s="5" t="str">
        <f t="shared" si="1"/>
        <v>July 2019</v>
      </c>
      <c r="I508" s="6">
        <f t="shared" si="2"/>
        <v>43647</v>
      </c>
    </row>
    <row r="509">
      <c r="A509" s="2">
        <v>43678.0</v>
      </c>
      <c r="B509" s="3">
        <v>2019.0</v>
      </c>
      <c r="C509" s="3">
        <v>8.0</v>
      </c>
      <c r="D509" s="3" t="s">
        <v>9</v>
      </c>
      <c r="E509" s="3">
        <v>116.25</v>
      </c>
      <c r="F509" s="3">
        <v>136.69</v>
      </c>
      <c r="G509" s="3">
        <v>85.0</v>
      </c>
      <c r="H509" s="5" t="str">
        <f t="shared" si="1"/>
        <v>August 2019</v>
      </c>
      <c r="I509" s="6">
        <f t="shared" si="2"/>
        <v>43678</v>
      </c>
    </row>
    <row r="510">
      <c r="A510" s="2">
        <v>43709.0</v>
      </c>
      <c r="B510" s="3">
        <v>2019.0</v>
      </c>
      <c r="C510" s="3">
        <v>9.0</v>
      </c>
      <c r="D510" s="3" t="s">
        <v>9</v>
      </c>
      <c r="E510" s="3">
        <v>103.55</v>
      </c>
      <c r="F510" s="3">
        <v>123.56</v>
      </c>
      <c r="G510" s="3">
        <v>83.8</v>
      </c>
      <c r="H510" s="5" t="str">
        <f t="shared" si="1"/>
        <v>September 2019</v>
      </c>
      <c r="I510" s="6">
        <f t="shared" si="2"/>
        <v>43709</v>
      </c>
    </row>
    <row r="511">
      <c r="A511" s="4">
        <v>43739.0</v>
      </c>
      <c r="B511" s="3">
        <v>2019.0</v>
      </c>
      <c r="C511" s="3">
        <v>10.0</v>
      </c>
      <c r="D511" s="3" t="s">
        <v>9</v>
      </c>
      <c r="E511" s="3">
        <v>88.41</v>
      </c>
      <c r="F511" s="3">
        <v>109.42</v>
      </c>
      <c r="G511" s="3">
        <v>80.8</v>
      </c>
      <c r="H511" s="5" t="str">
        <f t="shared" si="1"/>
        <v>October 2019</v>
      </c>
      <c r="I511" s="6">
        <f t="shared" si="2"/>
        <v>43739</v>
      </c>
    </row>
    <row r="512">
      <c r="A512" s="4">
        <v>43770.0</v>
      </c>
      <c r="B512" s="3">
        <v>2019.0</v>
      </c>
      <c r="C512" s="3">
        <v>11.0</v>
      </c>
      <c r="D512" s="3" t="s">
        <v>9</v>
      </c>
      <c r="E512" s="3">
        <v>79.29</v>
      </c>
      <c r="F512" s="3">
        <v>96.19</v>
      </c>
      <c r="G512" s="3">
        <v>82.4</v>
      </c>
      <c r="H512" s="5" t="str">
        <f t="shared" si="1"/>
        <v>November 2019</v>
      </c>
      <c r="I512" s="6">
        <f t="shared" si="2"/>
        <v>43770</v>
      </c>
    </row>
    <row r="513">
      <c r="A513" s="4">
        <v>43800.0</v>
      </c>
      <c r="B513" s="3">
        <v>2019.0</v>
      </c>
      <c r="C513" s="3">
        <v>12.0</v>
      </c>
      <c r="D513" s="3" t="s">
        <v>9</v>
      </c>
      <c r="E513" s="3">
        <v>64.12</v>
      </c>
      <c r="F513" s="3">
        <v>77.96</v>
      </c>
      <c r="G513" s="3">
        <v>82.2</v>
      </c>
      <c r="H513" s="5" t="str">
        <f t="shared" si="1"/>
        <v>December 2019</v>
      </c>
      <c r="I513" s="6">
        <f t="shared" si="2"/>
        <v>43800</v>
      </c>
    </row>
    <row r="514">
      <c r="A514" s="2">
        <v>43831.0</v>
      </c>
      <c r="B514" s="3">
        <v>2020.0</v>
      </c>
      <c r="C514" s="3">
        <v>1.0</v>
      </c>
      <c r="D514" s="3" t="s">
        <v>9</v>
      </c>
      <c r="E514" s="3">
        <v>51.3</v>
      </c>
      <c r="F514" s="3">
        <v>62.54</v>
      </c>
      <c r="G514" s="3">
        <v>82.0</v>
      </c>
      <c r="H514" s="5" t="str">
        <f t="shared" si="1"/>
        <v>January 2020</v>
      </c>
      <c r="I514" s="6">
        <f t="shared" si="2"/>
        <v>43831</v>
      </c>
    </row>
    <row r="515">
      <c r="A515" s="2">
        <v>43862.0</v>
      </c>
      <c r="B515" s="3">
        <v>2020.0</v>
      </c>
      <c r="C515" s="3">
        <v>2.0</v>
      </c>
      <c r="D515" s="3" t="s">
        <v>9</v>
      </c>
      <c r="E515" s="3">
        <v>53.61</v>
      </c>
      <c r="F515" s="3">
        <v>64.51</v>
      </c>
      <c r="G515" s="3">
        <v>83.1</v>
      </c>
      <c r="H515" s="5" t="str">
        <f t="shared" si="1"/>
        <v>February 2020</v>
      </c>
      <c r="I515" s="6">
        <f t="shared" si="2"/>
        <v>43862</v>
      </c>
    </row>
    <row r="516">
      <c r="A516" s="2">
        <v>43891.0</v>
      </c>
      <c r="B516" s="3">
        <v>2020.0</v>
      </c>
      <c r="C516" s="3">
        <v>3.0</v>
      </c>
      <c r="D516" s="3" t="s">
        <v>9</v>
      </c>
      <c r="E516" s="3">
        <v>7.54</v>
      </c>
      <c r="F516" s="3">
        <v>13.71</v>
      </c>
      <c r="G516" s="3">
        <v>55.0</v>
      </c>
      <c r="H516" s="5" t="str">
        <f t="shared" si="1"/>
        <v>March 2020</v>
      </c>
      <c r="I516" s="6">
        <f t="shared" si="2"/>
        <v>43891</v>
      </c>
    </row>
    <row r="517">
      <c r="A517" s="2">
        <v>43922.0</v>
      </c>
      <c r="B517" s="3">
        <v>2020.0</v>
      </c>
      <c r="C517" s="3">
        <v>4.0</v>
      </c>
      <c r="D517" s="3" t="s">
        <v>9</v>
      </c>
      <c r="E517" s="3">
        <v>8.97</v>
      </c>
      <c r="F517" s="3">
        <v>16.3</v>
      </c>
      <c r="G517" s="3">
        <v>55.0</v>
      </c>
      <c r="H517" s="5" t="str">
        <f t="shared" si="1"/>
        <v>April 2020</v>
      </c>
      <c r="I517" s="6">
        <f t="shared" si="2"/>
        <v>43922</v>
      </c>
    </row>
    <row r="518">
      <c r="A518" s="2">
        <v>43952.0</v>
      </c>
      <c r="B518" s="3">
        <v>2020.0</v>
      </c>
      <c r="C518" s="3">
        <v>5.0</v>
      </c>
      <c r="D518" s="3" t="s">
        <v>9</v>
      </c>
      <c r="E518" s="3">
        <v>8.76</v>
      </c>
      <c r="F518" s="3">
        <v>15.93</v>
      </c>
      <c r="G518" s="3">
        <v>55.0</v>
      </c>
      <c r="H518" s="5" t="str">
        <f t="shared" si="1"/>
        <v>May 2020</v>
      </c>
      <c r="I518" s="6">
        <f t="shared" si="2"/>
        <v>43952</v>
      </c>
    </row>
    <row r="519">
      <c r="A519" s="2">
        <v>43983.0</v>
      </c>
      <c r="B519" s="3">
        <v>2020.0</v>
      </c>
      <c r="C519" s="3">
        <v>6.0</v>
      </c>
      <c r="D519" s="3" t="s">
        <v>9</v>
      </c>
      <c r="E519" s="3">
        <v>10.22</v>
      </c>
      <c r="F519" s="3">
        <v>18.58</v>
      </c>
      <c r="G519" s="3">
        <v>55.0</v>
      </c>
      <c r="H519" s="5" t="str">
        <f t="shared" si="1"/>
        <v>June 2020</v>
      </c>
      <c r="I519" s="6">
        <f t="shared" si="2"/>
        <v>43983</v>
      </c>
    </row>
    <row r="520">
      <c r="A520" s="2">
        <v>44013.0</v>
      </c>
      <c r="B520" s="3">
        <v>2020.0</v>
      </c>
      <c r="C520" s="3">
        <v>7.0</v>
      </c>
      <c r="D520" s="3" t="s">
        <v>9</v>
      </c>
      <c r="E520" s="3">
        <v>69.84</v>
      </c>
      <c r="F520" s="3">
        <v>126.98</v>
      </c>
      <c r="G520" s="3">
        <v>55.0</v>
      </c>
      <c r="H520" s="5" t="str">
        <f t="shared" si="1"/>
        <v>July 2020</v>
      </c>
      <c r="I520" s="6">
        <f t="shared" si="2"/>
        <v>44013</v>
      </c>
    </row>
    <row r="521">
      <c r="A521" s="2">
        <v>44044.0</v>
      </c>
      <c r="B521" s="3">
        <v>2020.0</v>
      </c>
      <c r="C521" s="3">
        <v>8.0</v>
      </c>
      <c r="D521" s="3" t="s">
        <v>9</v>
      </c>
      <c r="E521" s="3">
        <v>24.92</v>
      </c>
      <c r="F521" s="3">
        <v>45.3</v>
      </c>
      <c r="G521" s="3">
        <v>55.0</v>
      </c>
      <c r="H521" s="5" t="str">
        <f t="shared" si="1"/>
        <v>August 2020</v>
      </c>
      <c r="I521" s="6">
        <f t="shared" si="2"/>
        <v>44044</v>
      </c>
    </row>
    <row r="522">
      <c r="A522" s="2">
        <v>44075.0</v>
      </c>
      <c r="B522" s="3">
        <v>2020.0</v>
      </c>
      <c r="C522" s="3">
        <v>9.0</v>
      </c>
      <c r="D522" s="3" t="s">
        <v>9</v>
      </c>
      <c r="E522" s="3">
        <v>25.46</v>
      </c>
      <c r="F522" s="3">
        <v>46.29</v>
      </c>
      <c r="G522" s="3">
        <v>55.0</v>
      </c>
      <c r="H522" s="5" t="str">
        <f t="shared" si="1"/>
        <v>September 2020</v>
      </c>
      <c r="I522" s="6">
        <f t="shared" si="2"/>
        <v>44075</v>
      </c>
    </row>
    <row r="523">
      <c r="A523" s="4">
        <v>44105.0</v>
      </c>
      <c r="B523" s="3">
        <v>2020.0</v>
      </c>
      <c r="C523" s="3">
        <v>10.0</v>
      </c>
      <c r="D523" s="3" t="s">
        <v>9</v>
      </c>
      <c r="E523" s="3">
        <v>24.09</v>
      </c>
      <c r="F523" s="3">
        <v>43.8</v>
      </c>
      <c r="G523" s="3">
        <v>55.0</v>
      </c>
      <c r="H523" s="5" t="str">
        <f t="shared" si="1"/>
        <v>October 2020</v>
      </c>
      <c r="I523" s="6">
        <f t="shared" si="2"/>
        <v>44105</v>
      </c>
    </row>
    <row r="524">
      <c r="A524" s="4">
        <v>44136.0</v>
      </c>
      <c r="B524" s="3">
        <v>2020.0</v>
      </c>
      <c r="C524" s="3">
        <v>11.0</v>
      </c>
      <c r="D524" s="3" t="s">
        <v>9</v>
      </c>
      <c r="E524" s="3">
        <v>23.17</v>
      </c>
      <c r="F524" s="3">
        <v>42.13</v>
      </c>
      <c r="G524" s="3">
        <v>55.0</v>
      </c>
      <c r="H524" s="5" t="str">
        <f t="shared" si="1"/>
        <v>November 2020</v>
      </c>
      <c r="I524" s="6">
        <f t="shared" si="2"/>
        <v>44136</v>
      </c>
    </row>
    <row r="525">
      <c r="A525" s="4">
        <v>44166.0</v>
      </c>
      <c r="B525" s="3">
        <v>2020.0</v>
      </c>
      <c r="C525" s="3">
        <v>12.0</v>
      </c>
      <c r="D525" s="3" t="s">
        <v>9</v>
      </c>
      <c r="E525" s="3">
        <v>19.92</v>
      </c>
      <c r="F525" s="3">
        <v>36.21</v>
      </c>
      <c r="G525" s="3">
        <v>55.0</v>
      </c>
      <c r="H525" s="5" t="str">
        <f t="shared" si="1"/>
        <v>December 2020</v>
      </c>
      <c r="I525" s="6">
        <f t="shared" si="2"/>
        <v>44166</v>
      </c>
    </row>
    <row r="526">
      <c r="A526" s="2">
        <v>44197.0</v>
      </c>
      <c r="B526" s="3">
        <v>2021.0</v>
      </c>
      <c r="C526" s="3">
        <v>1.0</v>
      </c>
      <c r="D526" s="3" t="s">
        <v>9</v>
      </c>
      <c r="E526" s="3">
        <v>57.64</v>
      </c>
      <c r="F526" s="3">
        <v>69.48</v>
      </c>
      <c r="G526" s="3">
        <v>83.0</v>
      </c>
      <c r="H526" s="5" t="str">
        <f t="shared" si="1"/>
        <v>January 2021</v>
      </c>
      <c r="I526" s="6">
        <f t="shared" si="2"/>
        <v>44197</v>
      </c>
    </row>
    <row r="527">
      <c r="A527" s="2">
        <v>44228.0</v>
      </c>
      <c r="B527" s="3">
        <v>2021.0</v>
      </c>
      <c r="C527" s="3">
        <v>2.0</v>
      </c>
      <c r="D527" s="3" t="s">
        <v>9</v>
      </c>
      <c r="E527" s="3">
        <v>25.33</v>
      </c>
      <c r="F527" s="3">
        <v>31.13</v>
      </c>
      <c r="G527" s="3">
        <v>81.4</v>
      </c>
      <c r="H527" s="5" t="str">
        <f t="shared" si="1"/>
        <v>February 2021</v>
      </c>
      <c r="I527" s="6">
        <f t="shared" si="2"/>
        <v>44228</v>
      </c>
    </row>
    <row r="528">
      <c r="A528" s="2">
        <v>44256.0</v>
      </c>
      <c r="B528" s="3">
        <v>2021.0</v>
      </c>
      <c r="C528" s="3">
        <v>3.0</v>
      </c>
      <c r="D528" s="3" t="s">
        <v>9</v>
      </c>
      <c r="E528" s="3">
        <v>26.39</v>
      </c>
      <c r="F528" s="3">
        <v>32.22</v>
      </c>
      <c r="G528" s="3">
        <v>81.9</v>
      </c>
      <c r="H528" s="5" t="str">
        <f t="shared" si="1"/>
        <v>March 2021</v>
      </c>
      <c r="I528" s="6">
        <f t="shared" si="2"/>
        <v>44256</v>
      </c>
    </row>
    <row r="529">
      <c r="A529" s="2">
        <v>44287.0</v>
      </c>
      <c r="B529" s="3">
        <v>2021.0</v>
      </c>
      <c r="C529" s="3">
        <v>4.0</v>
      </c>
      <c r="D529" s="3" t="s">
        <v>9</v>
      </c>
      <c r="E529" s="3">
        <v>27.18</v>
      </c>
      <c r="F529" s="3">
        <v>33.4</v>
      </c>
      <c r="G529" s="3">
        <v>81.4</v>
      </c>
      <c r="H529" s="5" t="str">
        <f t="shared" si="1"/>
        <v>April 2021</v>
      </c>
      <c r="I529" s="6">
        <f t="shared" si="2"/>
        <v>44287</v>
      </c>
    </row>
    <row r="530">
      <c r="A530" s="2">
        <v>44317.0</v>
      </c>
      <c r="B530" s="3">
        <v>2021.0</v>
      </c>
      <c r="C530" s="3">
        <v>5.0</v>
      </c>
      <c r="D530" s="3" t="s">
        <v>9</v>
      </c>
      <c r="E530" s="3">
        <v>31.87</v>
      </c>
      <c r="F530" s="3">
        <v>40.59</v>
      </c>
      <c r="G530" s="3">
        <v>78.5</v>
      </c>
      <c r="H530" s="5" t="str">
        <f t="shared" si="1"/>
        <v>May 2021</v>
      </c>
      <c r="I530" s="6">
        <f t="shared" si="2"/>
        <v>44317</v>
      </c>
    </row>
    <row r="531">
      <c r="A531" s="2">
        <v>44348.0</v>
      </c>
      <c r="B531" s="3">
        <v>2021.0</v>
      </c>
      <c r="C531" s="3">
        <v>6.0</v>
      </c>
      <c r="D531" s="3" t="s">
        <v>9</v>
      </c>
      <c r="E531" s="3">
        <v>32.94</v>
      </c>
      <c r="F531" s="3">
        <v>41.89</v>
      </c>
      <c r="G531" s="3">
        <v>78.6</v>
      </c>
      <c r="H531" s="5" t="str">
        <f t="shared" si="1"/>
        <v>June 2021</v>
      </c>
      <c r="I531" s="6">
        <f t="shared" si="2"/>
        <v>44348</v>
      </c>
    </row>
    <row r="532">
      <c r="A532" s="2">
        <v>44378.0</v>
      </c>
      <c r="B532" s="3">
        <v>2021.0</v>
      </c>
      <c r="C532" s="3">
        <v>7.0</v>
      </c>
      <c r="D532" s="3" t="s">
        <v>9</v>
      </c>
      <c r="E532" s="3">
        <v>76.02</v>
      </c>
      <c r="F532" s="3">
        <v>93.7</v>
      </c>
      <c r="G532" s="3">
        <v>81.1</v>
      </c>
      <c r="H532" s="5" t="str">
        <f t="shared" si="1"/>
        <v>July 2021</v>
      </c>
      <c r="I532" s="6">
        <f t="shared" si="2"/>
        <v>44378</v>
      </c>
    </row>
    <row r="533">
      <c r="A533" s="2">
        <v>44409.0</v>
      </c>
      <c r="B533" s="3">
        <v>2021.0</v>
      </c>
      <c r="C533" s="3">
        <v>8.0</v>
      </c>
      <c r="D533" s="3" t="s">
        <v>9</v>
      </c>
      <c r="E533" s="3">
        <v>47.69</v>
      </c>
      <c r="F533" s="3">
        <v>57.61</v>
      </c>
      <c r="G533" s="3">
        <v>82.8</v>
      </c>
      <c r="H533" s="5" t="str">
        <f t="shared" si="1"/>
        <v>August 2021</v>
      </c>
      <c r="I533" s="6">
        <f t="shared" si="2"/>
        <v>44409</v>
      </c>
    </row>
    <row r="534">
      <c r="A534" s="2">
        <v>44440.0</v>
      </c>
      <c r="B534" s="3">
        <v>2021.0</v>
      </c>
      <c r="C534" s="3">
        <v>9.0</v>
      </c>
      <c r="D534" s="3" t="s">
        <v>9</v>
      </c>
      <c r="E534" s="3">
        <v>49.62</v>
      </c>
      <c r="F534" s="3">
        <v>63.77</v>
      </c>
      <c r="G534" s="3">
        <v>77.8</v>
      </c>
      <c r="H534" s="5" t="str">
        <f t="shared" si="1"/>
        <v>September 2021</v>
      </c>
      <c r="I534" s="6">
        <f t="shared" si="2"/>
        <v>44440</v>
      </c>
    </row>
    <row r="535">
      <c r="A535" s="4">
        <v>44470.0</v>
      </c>
      <c r="B535" s="3">
        <v>2021.0</v>
      </c>
      <c r="C535" s="3">
        <v>10.0</v>
      </c>
      <c r="D535" s="3" t="s">
        <v>9</v>
      </c>
      <c r="E535" s="3">
        <v>49.26</v>
      </c>
      <c r="F535" s="3">
        <v>58.05</v>
      </c>
      <c r="G535" s="3">
        <v>84.9</v>
      </c>
      <c r="H535" s="5" t="str">
        <f t="shared" si="1"/>
        <v>October 2021</v>
      </c>
      <c r="I535" s="6">
        <f t="shared" si="2"/>
        <v>44470</v>
      </c>
    </row>
    <row r="536">
      <c r="A536" s="4">
        <v>44501.0</v>
      </c>
      <c r="B536" s="3">
        <v>2021.0</v>
      </c>
      <c r="C536" s="3">
        <v>11.0</v>
      </c>
      <c r="D536" s="3" t="s">
        <v>9</v>
      </c>
      <c r="E536" s="3">
        <v>47.01</v>
      </c>
      <c r="F536" s="3">
        <v>56.84</v>
      </c>
      <c r="G536" s="3">
        <v>82.7</v>
      </c>
      <c r="H536" s="5" t="str">
        <f t="shared" si="1"/>
        <v>November 2021</v>
      </c>
      <c r="I536" s="6">
        <f t="shared" si="2"/>
        <v>44501</v>
      </c>
    </row>
    <row r="537">
      <c r="A537" s="4">
        <v>44531.0</v>
      </c>
      <c r="B537" s="3">
        <v>2021.0</v>
      </c>
      <c r="C537" s="3">
        <v>12.0</v>
      </c>
      <c r="D537" s="3" t="s">
        <v>9</v>
      </c>
      <c r="E537" s="3">
        <v>41.89</v>
      </c>
      <c r="F537" s="3">
        <v>49.49</v>
      </c>
      <c r="G537" s="3">
        <v>84.7</v>
      </c>
      <c r="H537" s="5" t="str">
        <f t="shared" si="1"/>
        <v>December 2021</v>
      </c>
      <c r="I537" s="6">
        <f t="shared" si="2"/>
        <v>44531</v>
      </c>
    </row>
    <row r="538">
      <c r="A538" s="2">
        <v>44562.0</v>
      </c>
      <c r="B538" s="3">
        <v>2022.0</v>
      </c>
      <c r="C538" s="3">
        <v>1.0</v>
      </c>
      <c r="D538" s="3" t="s">
        <v>9</v>
      </c>
      <c r="E538" s="3">
        <v>64.06</v>
      </c>
      <c r="F538" s="3">
        <v>76.02</v>
      </c>
      <c r="G538" s="3">
        <v>84.3</v>
      </c>
      <c r="H538" s="5" t="str">
        <f t="shared" si="1"/>
        <v>January 2022</v>
      </c>
      <c r="I538" s="6">
        <f t="shared" si="2"/>
        <v>44562</v>
      </c>
    </row>
    <row r="539">
      <c r="A539" s="2">
        <v>44593.0</v>
      </c>
      <c r="B539" s="3">
        <v>2022.0</v>
      </c>
      <c r="C539" s="3">
        <v>2.0</v>
      </c>
      <c r="D539" s="3" t="s">
        <v>9</v>
      </c>
      <c r="E539" s="3">
        <v>60.43</v>
      </c>
      <c r="F539" s="3">
        <v>73.33</v>
      </c>
      <c r="G539" s="3">
        <v>82.4</v>
      </c>
      <c r="H539" s="5" t="str">
        <f t="shared" si="1"/>
        <v>February 2022</v>
      </c>
      <c r="I539" s="6">
        <f t="shared" si="2"/>
        <v>44593</v>
      </c>
    </row>
    <row r="540">
      <c r="A540" s="2">
        <v>44621.0</v>
      </c>
      <c r="B540" s="3">
        <v>2022.0</v>
      </c>
      <c r="C540" s="3">
        <v>3.0</v>
      </c>
      <c r="D540" s="3" t="s">
        <v>9</v>
      </c>
      <c r="E540" s="3">
        <v>67.23</v>
      </c>
      <c r="F540" s="3">
        <v>85.77</v>
      </c>
      <c r="G540" s="3">
        <v>78.4</v>
      </c>
      <c r="H540" s="5" t="str">
        <f t="shared" si="1"/>
        <v>March 2022</v>
      </c>
      <c r="I540" s="6">
        <f t="shared" si="2"/>
        <v>44621</v>
      </c>
    </row>
    <row r="541">
      <c r="A541" s="2">
        <v>44652.0</v>
      </c>
      <c r="B541" s="3">
        <v>2022.0</v>
      </c>
      <c r="C541" s="3">
        <v>4.0</v>
      </c>
      <c r="D541" s="3" t="s">
        <v>9</v>
      </c>
      <c r="E541" s="3">
        <v>74.46</v>
      </c>
      <c r="F541" s="3">
        <v>86.04</v>
      </c>
      <c r="G541" s="3">
        <v>86.5</v>
      </c>
      <c r="H541" s="5" t="str">
        <f t="shared" si="1"/>
        <v>April 2022</v>
      </c>
      <c r="I541" s="6">
        <f t="shared" si="2"/>
        <v>44652</v>
      </c>
    </row>
    <row r="542">
      <c r="A542" s="2">
        <v>44682.0</v>
      </c>
      <c r="B542" s="3">
        <v>2022.0</v>
      </c>
      <c r="C542" s="3">
        <v>5.0</v>
      </c>
      <c r="D542" s="3" t="s">
        <v>9</v>
      </c>
      <c r="E542" s="3">
        <v>84.1</v>
      </c>
      <c r="F542" s="3">
        <v>99.0</v>
      </c>
      <c r="G542" s="3">
        <v>84.9</v>
      </c>
      <c r="H542" s="5" t="str">
        <f t="shared" si="1"/>
        <v>May 2022</v>
      </c>
      <c r="I542" s="6">
        <f t="shared" si="2"/>
        <v>44682</v>
      </c>
    </row>
    <row r="543">
      <c r="A543" s="2">
        <v>44713.0</v>
      </c>
      <c r="B543" s="3">
        <v>2022.0</v>
      </c>
      <c r="C543" s="3">
        <v>6.0</v>
      </c>
      <c r="D543" s="3" t="s">
        <v>9</v>
      </c>
      <c r="E543" s="3">
        <v>92.55</v>
      </c>
      <c r="F543" s="3">
        <v>113.07</v>
      </c>
      <c r="G543" s="3">
        <v>81.9</v>
      </c>
      <c r="H543" s="5" t="str">
        <f t="shared" si="1"/>
        <v>June 2022</v>
      </c>
      <c r="I543" s="6">
        <f t="shared" si="2"/>
        <v>44713</v>
      </c>
    </row>
    <row r="544">
      <c r="A544" s="2">
        <v>44743.0</v>
      </c>
      <c r="B544" s="3">
        <v>2022.0</v>
      </c>
      <c r="C544" s="3">
        <v>7.0</v>
      </c>
      <c r="D544" s="3" t="s">
        <v>9</v>
      </c>
      <c r="E544" s="3">
        <v>101.43</v>
      </c>
      <c r="F544" s="3">
        <v>126.21</v>
      </c>
      <c r="G544" s="3">
        <v>80.4</v>
      </c>
      <c r="H544" s="5" t="str">
        <f t="shared" si="1"/>
        <v>July 2022</v>
      </c>
      <c r="I544" s="6">
        <f t="shared" si="2"/>
        <v>44743</v>
      </c>
    </row>
    <row r="545">
      <c r="A545" s="2">
        <v>44774.0</v>
      </c>
      <c r="B545" s="3">
        <v>2022.0</v>
      </c>
      <c r="C545" s="3">
        <v>8.0</v>
      </c>
      <c r="D545" s="3" t="s">
        <v>9</v>
      </c>
      <c r="E545" s="3">
        <v>102.65</v>
      </c>
      <c r="F545" s="3">
        <v>121.43</v>
      </c>
      <c r="G545" s="3">
        <v>84.5</v>
      </c>
      <c r="H545" s="5" t="str">
        <f t="shared" si="1"/>
        <v>August 2022</v>
      </c>
      <c r="I545" s="6">
        <f t="shared" si="2"/>
        <v>44774</v>
      </c>
    </row>
    <row r="546">
      <c r="A546" s="2">
        <v>44805.0</v>
      </c>
      <c r="B546" s="3">
        <v>2022.0</v>
      </c>
      <c r="C546" s="3">
        <v>9.0</v>
      </c>
      <c r="D546" s="3" t="s">
        <v>9</v>
      </c>
      <c r="E546" s="3">
        <v>111.85</v>
      </c>
      <c r="F546" s="3">
        <v>139.78</v>
      </c>
      <c r="G546" s="3">
        <v>80.0</v>
      </c>
      <c r="H546" s="5" t="str">
        <f t="shared" si="1"/>
        <v>September 2022</v>
      </c>
      <c r="I546" s="6">
        <f t="shared" si="2"/>
        <v>44805</v>
      </c>
    </row>
    <row r="547">
      <c r="A547" s="4">
        <v>44835.0</v>
      </c>
      <c r="B547" s="3">
        <v>2022.0</v>
      </c>
      <c r="C547" s="3">
        <v>10.0</v>
      </c>
      <c r="D547" s="3" t="s">
        <v>9</v>
      </c>
      <c r="E547" s="3">
        <v>108.59</v>
      </c>
      <c r="F547" s="3">
        <v>132.71</v>
      </c>
      <c r="G547" s="3">
        <v>81.8</v>
      </c>
      <c r="H547" s="5" t="str">
        <f t="shared" si="1"/>
        <v>October 2022</v>
      </c>
      <c r="I547" s="6">
        <f t="shared" si="2"/>
        <v>44835</v>
      </c>
    </row>
    <row r="548">
      <c r="A548" s="4">
        <v>44866.0</v>
      </c>
      <c r="B548" s="3">
        <v>2022.0</v>
      </c>
      <c r="C548" s="3">
        <v>11.0</v>
      </c>
      <c r="D548" s="3" t="s">
        <v>9</v>
      </c>
      <c r="E548" s="3">
        <v>102.29</v>
      </c>
      <c r="F548" s="3">
        <v>123.36</v>
      </c>
      <c r="G548" s="3">
        <v>82.9</v>
      </c>
      <c r="H548" s="5" t="str">
        <f t="shared" si="1"/>
        <v>November 2022</v>
      </c>
      <c r="I548" s="6">
        <f t="shared" si="2"/>
        <v>44866</v>
      </c>
    </row>
    <row r="549">
      <c r="A549" s="4">
        <v>44896.0</v>
      </c>
      <c r="B549" s="3">
        <v>2022.0</v>
      </c>
      <c r="C549" s="3">
        <v>12.0</v>
      </c>
      <c r="D549" s="3" t="s">
        <v>9</v>
      </c>
      <c r="E549" s="3">
        <v>99.47</v>
      </c>
      <c r="F549" s="3">
        <v>121.06</v>
      </c>
      <c r="G549" s="3">
        <v>82.2</v>
      </c>
      <c r="H549" s="5" t="str">
        <f t="shared" si="1"/>
        <v>December 2022</v>
      </c>
      <c r="I549" s="6">
        <f t="shared" si="2"/>
        <v>44896</v>
      </c>
    </row>
    <row r="550">
      <c r="A550" s="2">
        <v>44927.0</v>
      </c>
      <c r="B550" s="3">
        <v>2023.0</v>
      </c>
      <c r="C550" s="3">
        <v>1.0</v>
      </c>
      <c r="D550" s="3" t="s">
        <v>9</v>
      </c>
      <c r="E550" s="3">
        <v>97.58</v>
      </c>
      <c r="F550" s="3">
        <v>118.11</v>
      </c>
      <c r="G550" s="3">
        <v>82.6</v>
      </c>
      <c r="H550" s="5" t="str">
        <f t="shared" si="1"/>
        <v>January 2023</v>
      </c>
      <c r="I550" s="6">
        <f t="shared" si="2"/>
        <v>44927</v>
      </c>
    </row>
    <row r="551">
      <c r="A551" s="2">
        <v>44958.0</v>
      </c>
      <c r="B551" s="3">
        <v>2023.0</v>
      </c>
      <c r="C551" s="3">
        <v>2.0</v>
      </c>
      <c r="D551" s="3" t="s">
        <v>9</v>
      </c>
      <c r="E551" s="3">
        <v>95.81</v>
      </c>
      <c r="F551" s="3">
        <v>119.26</v>
      </c>
      <c r="G551" s="3">
        <v>80.3</v>
      </c>
      <c r="H551" s="5" t="str">
        <f t="shared" si="1"/>
        <v>February 2023</v>
      </c>
      <c r="I551" s="6">
        <f t="shared" si="2"/>
        <v>44958</v>
      </c>
    </row>
    <row r="552">
      <c r="A552" s="2">
        <v>44986.0</v>
      </c>
      <c r="B552" s="3">
        <v>2023.0</v>
      </c>
      <c r="C552" s="3">
        <v>3.0</v>
      </c>
      <c r="D552" s="3" t="s">
        <v>9</v>
      </c>
      <c r="E552" s="3">
        <v>105.6</v>
      </c>
      <c r="F552" s="3">
        <v>127.32</v>
      </c>
      <c r="G552" s="3">
        <v>82.9</v>
      </c>
      <c r="H552" s="5" t="str">
        <f t="shared" si="1"/>
        <v>March 2023</v>
      </c>
      <c r="I552" s="6">
        <f t="shared" si="2"/>
        <v>44986</v>
      </c>
    </row>
    <row r="553">
      <c r="A553" s="2">
        <v>45017.0</v>
      </c>
      <c r="B553" s="3">
        <v>2023.0</v>
      </c>
      <c r="C553" s="3">
        <v>4.0</v>
      </c>
      <c r="D553" s="3" t="s">
        <v>9</v>
      </c>
      <c r="E553" s="3">
        <v>110.45</v>
      </c>
      <c r="F553" s="3">
        <v>140.19</v>
      </c>
      <c r="G553" s="3">
        <v>78.8</v>
      </c>
      <c r="H553" s="5" t="str">
        <f t="shared" si="1"/>
        <v>April 2023</v>
      </c>
      <c r="I553" s="6">
        <f t="shared" si="2"/>
        <v>45017</v>
      </c>
    </row>
    <row r="554">
      <c r="A554" s="2">
        <v>45047.0</v>
      </c>
      <c r="B554" s="3">
        <v>2023.0</v>
      </c>
      <c r="C554" s="3">
        <v>5.0</v>
      </c>
      <c r="D554" s="3" t="s">
        <v>9</v>
      </c>
      <c r="E554" s="3">
        <v>117.07</v>
      </c>
      <c r="F554" s="3">
        <v>138.59</v>
      </c>
      <c r="G554" s="3">
        <v>84.5</v>
      </c>
      <c r="H554" s="5" t="str">
        <f t="shared" si="1"/>
        <v>May 2023</v>
      </c>
      <c r="I554" s="6">
        <f t="shared" si="2"/>
        <v>45047</v>
      </c>
    </row>
    <row r="555">
      <c r="A555" s="2">
        <v>45078.0</v>
      </c>
      <c r="B555" s="3">
        <v>2023.0</v>
      </c>
      <c r="C555" s="3">
        <v>6.0</v>
      </c>
      <c r="D555" s="3" t="s">
        <v>9</v>
      </c>
      <c r="E555" s="3">
        <v>133.5</v>
      </c>
      <c r="F555" s="3">
        <v>170.78</v>
      </c>
      <c r="G555" s="3">
        <v>78.2</v>
      </c>
      <c r="H555" s="5" t="str">
        <f t="shared" si="1"/>
        <v>June 2023</v>
      </c>
      <c r="I555" s="6">
        <f t="shared" si="2"/>
        <v>45078</v>
      </c>
    </row>
    <row r="556">
      <c r="A556" s="2">
        <v>45108.0</v>
      </c>
      <c r="B556" s="3">
        <v>2023.0</v>
      </c>
      <c r="C556" s="3">
        <v>7.0</v>
      </c>
      <c r="D556" s="3" t="s">
        <v>9</v>
      </c>
      <c r="E556" s="3">
        <v>147.16</v>
      </c>
      <c r="F556" s="3">
        <v>181.88</v>
      </c>
      <c r="G556" s="3">
        <v>80.9</v>
      </c>
      <c r="H556" s="5" t="str">
        <f t="shared" si="1"/>
        <v>July 2023</v>
      </c>
      <c r="I556" s="6">
        <f t="shared" si="2"/>
        <v>45108</v>
      </c>
    </row>
    <row r="557">
      <c r="A557" s="2">
        <v>45139.0</v>
      </c>
      <c r="B557" s="3">
        <v>2023.0</v>
      </c>
      <c r="C557" s="3">
        <v>8.0</v>
      </c>
      <c r="D557" s="3" t="s">
        <v>9</v>
      </c>
      <c r="E557" s="3">
        <v>155.22</v>
      </c>
      <c r="F557" s="3">
        <v>189.69</v>
      </c>
      <c r="G557" s="3">
        <v>81.8</v>
      </c>
      <c r="H557" s="5" t="str">
        <f t="shared" si="1"/>
        <v>August 2023</v>
      </c>
      <c r="I557" s="6">
        <f t="shared" si="2"/>
        <v>45139</v>
      </c>
    </row>
    <row r="558">
      <c r="A558" s="2">
        <v>45170.0</v>
      </c>
      <c r="B558" s="3">
        <v>2023.0</v>
      </c>
      <c r="C558" s="3">
        <v>9.0</v>
      </c>
      <c r="D558" s="3" t="s">
        <v>9</v>
      </c>
      <c r="E558" s="3">
        <v>150.63</v>
      </c>
      <c r="F558" s="3">
        <v>178.57</v>
      </c>
      <c r="G558" s="3">
        <v>84.4</v>
      </c>
      <c r="H558" s="5" t="str">
        <f t="shared" si="1"/>
        <v>September 2023</v>
      </c>
      <c r="I558" s="6">
        <f t="shared" si="2"/>
        <v>45170</v>
      </c>
    </row>
    <row r="559">
      <c r="A559" s="4">
        <v>45200.0</v>
      </c>
      <c r="B559" s="3">
        <v>2023.0</v>
      </c>
      <c r="C559" s="3">
        <v>10.0</v>
      </c>
      <c r="D559" s="3" t="s">
        <v>9</v>
      </c>
      <c r="E559" s="3">
        <v>141.92</v>
      </c>
      <c r="F559" s="3">
        <v>177.37</v>
      </c>
      <c r="G559" s="3">
        <v>80.0</v>
      </c>
      <c r="H559" s="5" t="str">
        <f t="shared" si="1"/>
        <v>October 2023</v>
      </c>
      <c r="I559" s="6">
        <f t="shared" si="2"/>
        <v>45200</v>
      </c>
    </row>
    <row r="560">
      <c r="A560" s="4">
        <v>45231.0</v>
      </c>
      <c r="B560" s="3">
        <v>2023.0</v>
      </c>
      <c r="C560" s="3">
        <v>11.0</v>
      </c>
      <c r="D560" s="3" t="s">
        <v>9</v>
      </c>
      <c r="E560" s="3">
        <v>137.93</v>
      </c>
      <c r="F560" s="3">
        <v>164.89</v>
      </c>
      <c r="G560" s="3">
        <v>83.7</v>
      </c>
      <c r="H560" s="5" t="str">
        <f t="shared" si="1"/>
        <v>November 2023</v>
      </c>
      <c r="I560" s="6">
        <f t="shared" si="2"/>
        <v>45231</v>
      </c>
    </row>
    <row r="561">
      <c r="A561" s="4">
        <v>45261.0</v>
      </c>
      <c r="B561" s="3">
        <v>2023.0</v>
      </c>
      <c r="C561" s="3">
        <v>12.0</v>
      </c>
      <c r="D561" s="3" t="s">
        <v>9</v>
      </c>
      <c r="E561" s="3">
        <v>126.1</v>
      </c>
      <c r="F561" s="3">
        <v>160.3</v>
      </c>
      <c r="G561" s="3">
        <v>78.7</v>
      </c>
      <c r="H561" s="5" t="str">
        <f t="shared" si="1"/>
        <v>December 2023</v>
      </c>
      <c r="I561" s="6">
        <f t="shared" si="2"/>
        <v>45261</v>
      </c>
    </row>
    <row r="562">
      <c r="A562" s="2">
        <v>45292.0</v>
      </c>
      <c r="B562" s="3">
        <v>2024.0</v>
      </c>
      <c r="C562" s="3">
        <v>1.0</v>
      </c>
      <c r="D562" s="3" t="s">
        <v>9</v>
      </c>
      <c r="E562" s="3">
        <v>129.32</v>
      </c>
      <c r="F562" s="3">
        <v>160.06</v>
      </c>
      <c r="G562" s="3">
        <v>80.8</v>
      </c>
      <c r="H562" s="5" t="str">
        <f t="shared" si="1"/>
        <v>January 2024</v>
      </c>
      <c r="I562" s="6">
        <f t="shared" si="2"/>
        <v>45292</v>
      </c>
    </row>
    <row r="563">
      <c r="A563" s="2">
        <v>45323.0</v>
      </c>
      <c r="B563" s="3">
        <v>2024.0</v>
      </c>
      <c r="C563" s="3">
        <v>2.0</v>
      </c>
      <c r="D563" s="3" t="s">
        <v>9</v>
      </c>
      <c r="E563" s="3">
        <v>122.51</v>
      </c>
      <c r="F563" s="3">
        <v>156.49</v>
      </c>
      <c r="G563" s="3">
        <v>78.3</v>
      </c>
      <c r="H563" s="5" t="str">
        <f t="shared" si="1"/>
        <v>February 2024</v>
      </c>
      <c r="I563" s="6">
        <f t="shared" si="2"/>
        <v>45323</v>
      </c>
    </row>
    <row r="564">
      <c r="A564" s="2">
        <v>45352.0</v>
      </c>
      <c r="B564" s="3">
        <v>2024.0</v>
      </c>
      <c r="C564" s="3">
        <v>3.0</v>
      </c>
      <c r="D564" s="3" t="s">
        <v>9</v>
      </c>
      <c r="E564" s="3">
        <v>125.04</v>
      </c>
      <c r="F564" s="3">
        <v>152.52</v>
      </c>
      <c r="G564" s="3">
        <v>82.0</v>
      </c>
      <c r="H564" s="5" t="str">
        <f t="shared" si="1"/>
        <v>March 2024</v>
      </c>
      <c r="I564" s="6">
        <f t="shared" si="2"/>
        <v>45352</v>
      </c>
    </row>
    <row r="565">
      <c r="A565" s="2">
        <v>45383.0</v>
      </c>
      <c r="B565" s="3">
        <v>2024.0</v>
      </c>
      <c r="C565" s="3">
        <v>4.0</v>
      </c>
      <c r="D565" s="3" t="s">
        <v>9</v>
      </c>
      <c r="E565" s="3">
        <v>140.3</v>
      </c>
      <c r="F565" s="3">
        <v>174.38</v>
      </c>
      <c r="G565" s="3">
        <v>80.5</v>
      </c>
      <c r="H565" s="5" t="str">
        <f t="shared" si="1"/>
        <v>April 2024</v>
      </c>
      <c r="I565" s="6">
        <f t="shared" si="2"/>
        <v>45383</v>
      </c>
    </row>
    <row r="566">
      <c r="A566" s="2">
        <v>45413.0</v>
      </c>
      <c r="B566" s="3">
        <v>2024.0</v>
      </c>
      <c r="C566" s="3">
        <v>5.0</v>
      </c>
      <c r="D566" s="3" t="s">
        <v>9</v>
      </c>
      <c r="E566" s="3">
        <v>155.9</v>
      </c>
      <c r="F566" s="3">
        <v>193.34</v>
      </c>
      <c r="G566" s="3">
        <v>80.6</v>
      </c>
      <c r="H566" s="5" t="str">
        <f t="shared" si="1"/>
        <v>May 2024</v>
      </c>
      <c r="I566" s="6">
        <f t="shared" si="2"/>
        <v>45413</v>
      </c>
    </row>
    <row r="567">
      <c r="A567" s="2">
        <v>45444.0</v>
      </c>
      <c r="B567" s="3">
        <v>2024.0</v>
      </c>
      <c r="C567" s="3">
        <v>6.0</v>
      </c>
      <c r="D567" s="3" t="s">
        <v>9</v>
      </c>
      <c r="E567" s="3">
        <v>157.1</v>
      </c>
      <c r="F567" s="3">
        <v>184.66</v>
      </c>
      <c r="G567" s="3">
        <v>85.1</v>
      </c>
      <c r="H567" s="5" t="str">
        <f t="shared" si="1"/>
        <v>June 2024</v>
      </c>
      <c r="I567" s="6">
        <f t="shared" si="2"/>
        <v>45444</v>
      </c>
    </row>
    <row r="568">
      <c r="A568" s="2">
        <v>45474.0</v>
      </c>
      <c r="B568" s="3">
        <v>2024.0</v>
      </c>
      <c r="C568" s="3">
        <v>7.0</v>
      </c>
      <c r="D568" s="3" t="s">
        <v>9</v>
      </c>
      <c r="E568" s="3">
        <v>170.56</v>
      </c>
      <c r="F568" s="3">
        <v>210.84</v>
      </c>
      <c r="G568" s="3">
        <v>80.9</v>
      </c>
      <c r="H568" s="5" t="str">
        <f t="shared" si="1"/>
        <v>July 2024</v>
      </c>
      <c r="I568" s="6">
        <f t="shared" si="2"/>
        <v>45474</v>
      </c>
    </row>
    <row r="569">
      <c r="A569" s="2">
        <v>45505.0</v>
      </c>
      <c r="B569" s="3">
        <v>2024.0</v>
      </c>
      <c r="C569" s="3">
        <v>8.0</v>
      </c>
      <c r="D569" s="3" t="s">
        <v>9</v>
      </c>
      <c r="E569" s="3">
        <v>172.65</v>
      </c>
      <c r="F569" s="3">
        <v>203.83</v>
      </c>
      <c r="G569" s="3">
        <v>84.7</v>
      </c>
      <c r="H569" s="5" t="str">
        <f t="shared" si="1"/>
        <v>August 2024</v>
      </c>
      <c r="I569" s="6">
        <f t="shared" si="2"/>
        <v>45505</v>
      </c>
    </row>
    <row r="570">
      <c r="A570" s="2">
        <v>45536.0</v>
      </c>
      <c r="B570" s="3">
        <v>2024.0</v>
      </c>
      <c r="C570" s="3">
        <v>9.0</v>
      </c>
      <c r="D570" s="3" t="s">
        <v>9</v>
      </c>
      <c r="E570" s="3">
        <v>179.07</v>
      </c>
      <c r="F570" s="3">
        <v>222.82</v>
      </c>
      <c r="G570" s="3">
        <v>80.4</v>
      </c>
      <c r="H570" s="5" t="str">
        <f t="shared" si="1"/>
        <v>September 2024</v>
      </c>
      <c r="I570" s="6">
        <f t="shared" si="2"/>
        <v>45536</v>
      </c>
    </row>
    <row r="571">
      <c r="A571" s="4">
        <v>45566.0</v>
      </c>
      <c r="B571" s="3">
        <v>2024.0</v>
      </c>
      <c r="C571" s="3">
        <v>10.0</v>
      </c>
      <c r="D571" s="3" t="s">
        <v>9</v>
      </c>
      <c r="E571" s="3">
        <v>163.73</v>
      </c>
      <c r="F571" s="3">
        <v>199.23</v>
      </c>
      <c r="G571" s="3">
        <v>82.2</v>
      </c>
      <c r="H571" s="5" t="str">
        <f t="shared" si="1"/>
        <v>October 2024</v>
      </c>
      <c r="I571" s="6">
        <f t="shared" si="2"/>
        <v>45566</v>
      </c>
    </row>
    <row r="572">
      <c r="A572" s="4">
        <v>45597.0</v>
      </c>
      <c r="B572" s="3">
        <v>2024.0</v>
      </c>
      <c r="C572" s="3">
        <v>11.0</v>
      </c>
      <c r="D572" s="3" t="s">
        <v>9</v>
      </c>
      <c r="E572" s="3">
        <v>148.86</v>
      </c>
      <c r="F572" s="3">
        <v>181.79</v>
      </c>
      <c r="G572" s="3">
        <v>81.9</v>
      </c>
      <c r="H572" s="5" t="str">
        <f t="shared" si="1"/>
        <v>November 2024</v>
      </c>
      <c r="I572" s="6">
        <f t="shared" si="2"/>
        <v>45597</v>
      </c>
    </row>
    <row r="573">
      <c r="A573" s="4">
        <v>45627.0</v>
      </c>
      <c r="B573" s="3">
        <v>2024.0</v>
      </c>
      <c r="C573" s="3">
        <v>12.0</v>
      </c>
      <c r="D573" s="3" t="s">
        <v>9</v>
      </c>
      <c r="E573" s="3">
        <v>142.63</v>
      </c>
      <c r="F573" s="3">
        <v>169.23</v>
      </c>
      <c r="G573" s="3">
        <v>84.3</v>
      </c>
      <c r="H573" s="5" t="str">
        <f t="shared" si="1"/>
        <v>December 2024</v>
      </c>
      <c r="I573" s="6">
        <f t="shared" si="2"/>
        <v>45627</v>
      </c>
    </row>
    <row r="574">
      <c r="A574" s="2">
        <v>45658.0</v>
      </c>
      <c r="B574" s="3">
        <v>2025.0</v>
      </c>
      <c r="C574" s="3">
        <v>1.0</v>
      </c>
      <c r="D574" s="3" t="s">
        <v>9</v>
      </c>
      <c r="E574" s="3">
        <v>139.84</v>
      </c>
      <c r="F574" s="3">
        <v>171.92</v>
      </c>
      <c r="G574" s="3">
        <v>81.3</v>
      </c>
      <c r="H574" s="5" t="str">
        <f t="shared" si="1"/>
        <v>January 2025</v>
      </c>
      <c r="I574" s="6">
        <f t="shared" si="2"/>
        <v>45658</v>
      </c>
    </row>
    <row r="575">
      <c r="A575" s="2">
        <v>45689.0</v>
      </c>
      <c r="B575" s="3">
        <v>2025.0</v>
      </c>
      <c r="C575" s="3">
        <v>2.0</v>
      </c>
      <c r="D575" s="3" t="s">
        <v>9</v>
      </c>
      <c r="E575" s="3">
        <v>131.61</v>
      </c>
      <c r="F575" s="3">
        <v>157.94</v>
      </c>
      <c r="G575" s="3">
        <v>83.3</v>
      </c>
      <c r="H575" s="5" t="str">
        <f t="shared" si="1"/>
        <v>February 2025</v>
      </c>
      <c r="I575" s="6">
        <f t="shared" si="2"/>
        <v>45689</v>
      </c>
    </row>
    <row r="576">
      <c r="A576" s="2">
        <v>45717.0</v>
      </c>
      <c r="B576" s="3">
        <v>2025.0</v>
      </c>
      <c r="C576" s="3">
        <v>3.0</v>
      </c>
      <c r="D576" s="3" t="s">
        <v>9</v>
      </c>
      <c r="E576" s="3">
        <v>133.94</v>
      </c>
      <c r="F576" s="3">
        <v>161.03</v>
      </c>
      <c r="G576" s="3">
        <v>83.2</v>
      </c>
      <c r="H576" s="5" t="str">
        <f t="shared" si="1"/>
        <v>March 2025</v>
      </c>
      <c r="I576" s="6">
        <f t="shared" si="2"/>
        <v>45717</v>
      </c>
    </row>
    <row r="577">
      <c r="A577" s="2">
        <v>45748.0</v>
      </c>
      <c r="B577" s="3">
        <v>2025.0</v>
      </c>
      <c r="C577" s="3">
        <v>4.0</v>
      </c>
      <c r="D577" s="3" t="s">
        <v>9</v>
      </c>
      <c r="E577" s="3">
        <v>145.3</v>
      </c>
      <c r="F577" s="3">
        <v>181.49</v>
      </c>
      <c r="G577" s="3">
        <v>80.1</v>
      </c>
      <c r="H577" s="5" t="str">
        <f t="shared" si="1"/>
        <v>April 2025</v>
      </c>
      <c r="I577" s="6">
        <f t="shared" si="2"/>
        <v>45748</v>
      </c>
    </row>
    <row r="578">
      <c r="A578" s="2">
        <v>45778.0</v>
      </c>
      <c r="B578" s="3">
        <v>2025.0</v>
      </c>
      <c r="C578" s="3">
        <v>5.0</v>
      </c>
      <c r="D578" s="3" t="s">
        <v>9</v>
      </c>
      <c r="E578" s="3">
        <v>153.85</v>
      </c>
      <c r="F578" s="3">
        <v>181.23</v>
      </c>
      <c r="G578" s="3">
        <v>84.9</v>
      </c>
      <c r="H578" s="5" t="str">
        <f t="shared" si="1"/>
        <v>May 2025</v>
      </c>
      <c r="I578" s="6">
        <f t="shared" si="2"/>
        <v>45778</v>
      </c>
    </row>
    <row r="579">
      <c r="A579" s="2">
        <v>45809.0</v>
      </c>
      <c r="B579" s="3">
        <v>2025.0</v>
      </c>
      <c r="C579" s="3">
        <v>6.0</v>
      </c>
      <c r="D579" s="3" t="s">
        <v>9</v>
      </c>
      <c r="E579" s="3">
        <v>170.3</v>
      </c>
      <c r="F579" s="3">
        <v>199.7</v>
      </c>
      <c r="G579" s="3">
        <v>85.3</v>
      </c>
      <c r="H579" s="5" t="str">
        <f t="shared" si="1"/>
        <v>June 2025</v>
      </c>
      <c r="I579" s="6">
        <f t="shared" si="2"/>
        <v>45809</v>
      </c>
    </row>
    <row r="580">
      <c r="A580" s="2">
        <v>45839.0</v>
      </c>
      <c r="B580" s="3">
        <v>2025.0</v>
      </c>
      <c r="C580" s="3">
        <v>7.0</v>
      </c>
      <c r="D580" s="3" t="s">
        <v>9</v>
      </c>
      <c r="E580" s="3">
        <v>178.02</v>
      </c>
      <c r="F580" s="3">
        <v>215.57</v>
      </c>
      <c r="G580" s="3">
        <v>82.6</v>
      </c>
      <c r="H580" s="5" t="str">
        <f t="shared" si="1"/>
        <v>July 2025</v>
      </c>
      <c r="I580" s="6">
        <f t="shared" si="2"/>
        <v>45839</v>
      </c>
    </row>
    <row r="581">
      <c r="A581" s="2">
        <v>45870.0</v>
      </c>
      <c r="B581" s="3">
        <v>2025.0</v>
      </c>
      <c r="C581" s="3">
        <v>8.0</v>
      </c>
      <c r="D581" s="3" t="s">
        <v>9</v>
      </c>
      <c r="E581" s="3">
        <v>198.72</v>
      </c>
      <c r="F581" s="3">
        <v>248.76</v>
      </c>
      <c r="G581" s="3">
        <v>79.9</v>
      </c>
      <c r="H581" s="5" t="str">
        <f t="shared" si="1"/>
        <v>August 2025</v>
      </c>
      <c r="I581" s="6">
        <f t="shared" si="2"/>
        <v>45870</v>
      </c>
    </row>
    <row r="582">
      <c r="A582" s="2">
        <v>45901.0</v>
      </c>
      <c r="B582" s="3">
        <v>2025.0</v>
      </c>
      <c r="C582" s="3">
        <v>9.0</v>
      </c>
      <c r="D582" s="3" t="s">
        <v>9</v>
      </c>
      <c r="E582" s="3">
        <v>172.56</v>
      </c>
      <c r="F582" s="3">
        <v>204.03</v>
      </c>
      <c r="G582" s="3">
        <v>84.6</v>
      </c>
      <c r="H582" s="5" t="str">
        <f t="shared" si="1"/>
        <v>September 2025</v>
      </c>
      <c r="I582" s="6">
        <f t="shared" si="2"/>
        <v>45901</v>
      </c>
    </row>
    <row r="583">
      <c r="A583" s="4">
        <v>45931.0</v>
      </c>
      <c r="B583" s="3">
        <v>2025.0</v>
      </c>
      <c r="C583" s="3">
        <v>10.0</v>
      </c>
      <c r="D583" s="3" t="s">
        <v>9</v>
      </c>
      <c r="E583" s="3">
        <v>170.41</v>
      </c>
      <c r="F583" s="3">
        <v>207.92</v>
      </c>
      <c r="G583" s="3">
        <v>82.0</v>
      </c>
      <c r="H583" s="5" t="str">
        <f t="shared" si="1"/>
        <v>October 2025</v>
      </c>
      <c r="I583" s="6">
        <f t="shared" si="2"/>
        <v>45931</v>
      </c>
    </row>
    <row r="584">
      <c r="A584" s="4">
        <v>45962.0</v>
      </c>
      <c r="B584" s="3">
        <v>2025.0</v>
      </c>
      <c r="C584" s="3">
        <v>11.0</v>
      </c>
      <c r="D584" s="3" t="s">
        <v>9</v>
      </c>
      <c r="E584" s="3">
        <v>160.49</v>
      </c>
      <c r="F584" s="3">
        <v>194.44</v>
      </c>
      <c r="G584" s="3">
        <v>82.5</v>
      </c>
      <c r="H584" s="5" t="str">
        <f t="shared" si="1"/>
        <v>November 2025</v>
      </c>
      <c r="I584" s="6">
        <f t="shared" si="2"/>
        <v>45962</v>
      </c>
    </row>
    <row r="585">
      <c r="A585" s="4">
        <v>45992.0</v>
      </c>
      <c r="B585" s="3">
        <v>2025.0</v>
      </c>
      <c r="C585" s="3">
        <v>12.0</v>
      </c>
      <c r="D585" s="3" t="s">
        <v>9</v>
      </c>
      <c r="E585" s="3">
        <v>147.59</v>
      </c>
      <c r="F585" s="3">
        <v>180.78</v>
      </c>
      <c r="G585" s="3">
        <v>81.6</v>
      </c>
      <c r="H585" s="5" t="str">
        <f t="shared" si="1"/>
        <v>December 2025</v>
      </c>
      <c r="I585" s="6">
        <f t="shared" si="2"/>
        <v>45992</v>
      </c>
    </row>
    <row r="586">
      <c r="A586" s="2">
        <v>46023.0</v>
      </c>
      <c r="B586" s="3">
        <v>2026.0</v>
      </c>
      <c r="C586" s="3">
        <v>1.0</v>
      </c>
      <c r="D586" s="3" t="s">
        <v>9</v>
      </c>
      <c r="E586" s="3">
        <v>145.52</v>
      </c>
      <c r="F586" s="3">
        <v>181.93</v>
      </c>
      <c r="G586" s="3">
        <v>80.0</v>
      </c>
      <c r="H586" s="5" t="str">
        <f t="shared" si="1"/>
        <v>January 2026</v>
      </c>
      <c r="I586" s="6">
        <f t="shared" si="2"/>
        <v>46023</v>
      </c>
    </row>
    <row r="587">
      <c r="A587" s="2">
        <v>46054.0</v>
      </c>
      <c r="B587" s="3">
        <v>2026.0</v>
      </c>
      <c r="C587" s="3">
        <v>2.0</v>
      </c>
      <c r="D587" s="3" t="s">
        <v>9</v>
      </c>
      <c r="E587" s="3">
        <v>137.34</v>
      </c>
      <c r="F587" s="3">
        <v>168.91</v>
      </c>
      <c r="G587" s="3">
        <v>81.3</v>
      </c>
      <c r="H587" s="5" t="str">
        <f t="shared" si="1"/>
        <v>February 2026</v>
      </c>
      <c r="I587" s="6">
        <f t="shared" si="2"/>
        <v>46054</v>
      </c>
    </row>
    <row r="588">
      <c r="A588" s="2">
        <v>46082.0</v>
      </c>
      <c r="B588" s="3">
        <v>2026.0</v>
      </c>
      <c r="C588" s="3">
        <v>3.0</v>
      </c>
      <c r="D588" s="3" t="s">
        <v>9</v>
      </c>
      <c r="E588" s="3">
        <v>137.54</v>
      </c>
      <c r="F588" s="3">
        <v>169.48</v>
      </c>
      <c r="G588" s="3">
        <v>81.2</v>
      </c>
      <c r="H588" s="5" t="str">
        <f t="shared" si="1"/>
        <v>March 2026</v>
      </c>
      <c r="I588" s="6">
        <f t="shared" si="2"/>
        <v>46082</v>
      </c>
    </row>
    <row r="589">
      <c r="A589" s="2">
        <v>46113.0</v>
      </c>
      <c r="B589" s="3">
        <v>2026.0</v>
      </c>
      <c r="C589" s="3">
        <v>4.0</v>
      </c>
      <c r="D589" s="3" t="s">
        <v>9</v>
      </c>
      <c r="E589" s="3">
        <v>153.17</v>
      </c>
      <c r="F589" s="3">
        <v>188.63</v>
      </c>
      <c r="G589" s="3">
        <v>81.2</v>
      </c>
      <c r="H589" s="5" t="str">
        <f t="shared" si="1"/>
        <v>April 2026</v>
      </c>
      <c r="I589" s="6">
        <f t="shared" si="2"/>
        <v>46113</v>
      </c>
    </row>
    <row r="590">
      <c r="A590" s="2">
        <v>40179.0</v>
      </c>
      <c r="B590" s="3">
        <v>2010.0</v>
      </c>
      <c r="C590" s="3">
        <v>1.0</v>
      </c>
      <c r="D590" s="3" t="s">
        <v>10</v>
      </c>
      <c r="E590" s="3">
        <v>13.81</v>
      </c>
      <c r="F590" s="3">
        <v>16.85</v>
      </c>
      <c r="G590" s="3">
        <v>82.0</v>
      </c>
      <c r="H590" s="5" t="str">
        <f t="shared" si="1"/>
        <v>January 2010</v>
      </c>
      <c r="I590" s="6">
        <f t="shared" si="2"/>
        <v>40179</v>
      </c>
    </row>
    <row r="591">
      <c r="A591" s="2">
        <v>40210.0</v>
      </c>
      <c r="B591" s="3">
        <v>2010.0</v>
      </c>
      <c r="C591" s="3">
        <v>2.0</v>
      </c>
      <c r="D591" s="3" t="s">
        <v>10</v>
      </c>
      <c r="E591" s="3">
        <v>13.47</v>
      </c>
      <c r="F591" s="3">
        <v>16.16</v>
      </c>
      <c r="G591" s="3">
        <v>83.4</v>
      </c>
      <c r="H591" s="5" t="str">
        <f t="shared" si="1"/>
        <v>February 2010</v>
      </c>
      <c r="I591" s="6">
        <f t="shared" si="2"/>
        <v>40210</v>
      </c>
    </row>
    <row r="592">
      <c r="A592" s="2">
        <v>40238.0</v>
      </c>
      <c r="B592" s="3">
        <v>2010.0</v>
      </c>
      <c r="C592" s="3">
        <v>3.0</v>
      </c>
      <c r="D592" s="3" t="s">
        <v>10</v>
      </c>
      <c r="E592" s="3">
        <v>14.84</v>
      </c>
      <c r="F592" s="3">
        <v>18.3</v>
      </c>
      <c r="G592" s="3">
        <v>81.1</v>
      </c>
      <c r="H592" s="5" t="str">
        <f t="shared" si="1"/>
        <v>March 2010</v>
      </c>
      <c r="I592" s="6">
        <f t="shared" si="2"/>
        <v>40238</v>
      </c>
    </row>
    <row r="593">
      <c r="A593" s="2">
        <v>40269.0</v>
      </c>
      <c r="B593" s="3">
        <v>2010.0</v>
      </c>
      <c r="C593" s="3">
        <v>4.0</v>
      </c>
      <c r="D593" s="3" t="s">
        <v>10</v>
      </c>
      <c r="E593" s="3">
        <v>15.49</v>
      </c>
      <c r="F593" s="3">
        <v>19.0</v>
      </c>
      <c r="G593" s="3">
        <v>81.5</v>
      </c>
      <c r="H593" s="5" t="str">
        <f t="shared" si="1"/>
        <v>April 2010</v>
      </c>
      <c r="I593" s="6">
        <f t="shared" si="2"/>
        <v>40269</v>
      </c>
    </row>
    <row r="594">
      <c r="A594" s="2">
        <v>40299.0</v>
      </c>
      <c r="B594" s="3">
        <v>2010.0</v>
      </c>
      <c r="C594" s="3">
        <v>5.0</v>
      </c>
      <c r="D594" s="3" t="s">
        <v>10</v>
      </c>
      <c r="E594" s="3">
        <v>16.85</v>
      </c>
      <c r="F594" s="3">
        <v>19.79</v>
      </c>
      <c r="G594" s="3">
        <v>85.1</v>
      </c>
      <c r="H594" s="5" t="str">
        <f t="shared" si="1"/>
        <v>May 2010</v>
      </c>
      <c r="I594" s="6">
        <f t="shared" si="2"/>
        <v>40299</v>
      </c>
    </row>
    <row r="595">
      <c r="A595" s="2">
        <v>40330.0</v>
      </c>
      <c r="B595" s="3">
        <v>2010.0</v>
      </c>
      <c r="C595" s="3">
        <v>6.0</v>
      </c>
      <c r="D595" s="3" t="s">
        <v>10</v>
      </c>
      <c r="E595" s="3">
        <v>18.37</v>
      </c>
      <c r="F595" s="3">
        <v>23.42</v>
      </c>
      <c r="G595" s="3">
        <v>78.5</v>
      </c>
      <c r="H595" s="5" t="str">
        <f t="shared" si="1"/>
        <v>June 2010</v>
      </c>
      <c r="I595" s="6">
        <f t="shared" si="2"/>
        <v>40330</v>
      </c>
    </row>
    <row r="596">
      <c r="A596" s="2">
        <v>40360.0</v>
      </c>
      <c r="B596" s="3">
        <v>2010.0</v>
      </c>
      <c r="C596" s="3">
        <v>7.0</v>
      </c>
      <c r="D596" s="3" t="s">
        <v>10</v>
      </c>
      <c r="E596" s="3">
        <v>19.47</v>
      </c>
      <c r="F596" s="3">
        <v>23.05</v>
      </c>
      <c r="G596" s="3">
        <v>84.5</v>
      </c>
      <c r="H596" s="5" t="str">
        <f t="shared" si="1"/>
        <v>July 2010</v>
      </c>
      <c r="I596" s="6">
        <f t="shared" si="2"/>
        <v>40360</v>
      </c>
    </row>
    <row r="597">
      <c r="A597" s="2">
        <v>40391.0</v>
      </c>
      <c r="B597" s="3">
        <v>2010.0</v>
      </c>
      <c r="C597" s="3">
        <v>8.0</v>
      </c>
      <c r="D597" s="3" t="s">
        <v>10</v>
      </c>
      <c r="E597" s="3">
        <v>19.61</v>
      </c>
      <c r="F597" s="3">
        <v>23.35</v>
      </c>
      <c r="G597" s="3">
        <v>84.0</v>
      </c>
      <c r="H597" s="5" t="str">
        <f t="shared" si="1"/>
        <v>August 2010</v>
      </c>
      <c r="I597" s="6">
        <f t="shared" si="2"/>
        <v>40391</v>
      </c>
    </row>
    <row r="598">
      <c r="A598" s="2">
        <v>40422.0</v>
      </c>
      <c r="B598" s="3">
        <v>2010.0</v>
      </c>
      <c r="C598" s="3">
        <v>9.0</v>
      </c>
      <c r="D598" s="3" t="s">
        <v>10</v>
      </c>
      <c r="E598" s="3">
        <v>19.18</v>
      </c>
      <c r="F598" s="3">
        <v>24.27</v>
      </c>
      <c r="G598" s="3">
        <v>79.0</v>
      </c>
      <c r="H598" s="5" t="str">
        <f t="shared" si="1"/>
        <v>September 2010</v>
      </c>
      <c r="I598" s="6">
        <f t="shared" si="2"/>
        <v>40422</v>
      </c>
    </row>
    <row r="599">
      <c r="A599" s="4">
        <v>40452.0</v>
      </c>
      <c r="B599" s="3">
        <v>2010.0</v>
      </c>
      <c r="C599" s="3">
        <v>10.0</v>
      </c>
      <c r="D599" s="3" t="s">
        <v>10</v>
      </c>
      <c r="E599" s="3">
        <v>18.89</v>
      </c>
      <c r="F599" s="3">
        <v>24.07</v>
      </c>
      <c r="G599" s="3">
        <v>78.5</v>
      </c>
      <c r="H599" s="5" t="str">
        <f t="shared" si="1"/>
        <v>October 2010</v>
      </c>
      <c r="I599" s="6">
        <f t="shared" si="2"/>
        <v>40452</v>
      </c>
    </row>
    <row r="600">
      <c r="A600" s="4">
        <v>40483.0</v>
      </c>
      <c r="B600" s="3">
        <v>2010.0</v>
      </c>
      <c r="C600" s="3">
        <v>11.0</v>
      </c>
      <c r="D600" s="3" t="s">
        <v>10</v>
      </c>
      <c r="E600" s="3">
        <v>17.54</v>
      </c>
      <c r="F600" s="3">
        <v>20.74</v>
      </c>
      <c r="G600" s="3">
        <v>84.6</v>
      </c>
      <c r="H600" s="5" t="str">
        <f t="shared" si="1"/>
        <v>November 2010</v>
      </c>
      <c r="I600" s="6">
        <f t="shared" si="2"/>
        <v>40483</v>
      </c>
    </row>
    <row r="601">
      <c r="A601" s="4">
        <v>40513.0</v>
      </c>
      <c r="B601" s="3">
        <v>2010.0</v>
      </c>
      <c r="C601" s="3">
        <v>12.0</v>
      </c>
      <c r="D601" s="3" t="s">
        <v>10</v>
      </c>
      <c r="E601" s="3">
        <v>15.58</v>
      </c>
      <c r="F601" s="3">
        <v>19.61</v>
      </c>
      <c r="G601" s="3">
        <v>79.4</v>
      </c>
      <c r="H601" s="5" t="str">
        <f t="shared" si="1"/>
        <v>December 2010</v>
      </c>
      <c r="I601" s="6">
        <f t="shared" si="2"/>
        <v>40513</v>
      </c>
    </row>
    <row r="602">
      <c r="A602" s="2">
        <v>40544.0</v>
      </c>
      <c r="B602" s="3">
        <v>2011.0</v>
      </c>
      <c r="C602" s="3">
        <v>1.0</v>
      </c>
      <c r="D602" s="3" t="s">
        <v>10</v>
      </c>
      <c r="E602" s="3">
        <v>15.18</v>
      </c>
      <c r="F602" s="3">
        <v>18.55</v>
      </c>
      <c r="G602" s="3">
        <v>81.9</v>
      </c>
      <c r="H602" s="5" t="str">
        <f t="shared" si="1"/>
        <v>January 2011</v>
      </c>
      <c r="I602" s="6">
        <f t="shared" si="2"/>
        <v>40544</v>
      </c>
    </row>
    <row r="603">
      <c r="A603" s="2">
        <v>40575.0</v>
      </c>
      <c r="B603" s="3">
        <v>2011.0</v>
      </c>
      <c r="C603" s="3">
        <v>2.0</v>
      </c>
      <c r="D603" s="3" t="s">
        <v>10</v>
      </c>
      <c r="E603" s="3">
        <v>15.27</v>
      </c>
      <c r="F603" s="3">
        <v>18.01</v>
      </c>
      <c r="G603" s="3">
        <v>84.8</v>
      </c>
      <c r="H603" s="5" t="str">
        <f t="shared" si="1"/>
        <v>February 2011</v>
      </c>
      <c r="I603" s="6">
        <f t="shared" si="2"/>
        <v>40575</v>
      </c>
    </row>
    <row r="604">
      <c r="A604" s="2">
        <v>40603.0</v>
      </c>
      <c r="B604" s="3">
        <v>2011.0</v>
      </c>
      <c r="C604" s="3">
        <v>3.0</v>
      </c>
      <c r="D604" s="3" t="s">
        <v>10</v>
      </c>
      <c r="E604" s="3">
        <v>16.42</v>
      </c>
      <c r="F604" s="3">
        <v>19.78</v>
      </c>
      <c r="G604" s="3">
        <v>83.0</v>
      </c>
      <c r="H604" s="5" t="str">
        <f t="shared" si="1"/>
        <v>March 2011</v>
      </c>
      <c r="I604" s="6">
        <f t="shared" si="2"/>
        <v>40603</v>
      </c>
    </row>
    <row r="605">
      <c r="A605" s="2">
        <v>40634.0</v>
      </c>
      <c r="B605" s="3">
        <v>2011.0</v>
      </c>
      <c r="C605" s="3">
        <v>4.0</v>
      </c>
      <c r="D605" s="3" t="s">
        <v>10</v>
      </c>
      <c r="E605" s="3">
        <v>17.19</v>
      </c>
      <c r="F605" s="3">
        <v>20.76</v>
      </c>
      <c r="G605" s="3">
        <v>82.8</v>
      </c>
      <c r="H605" s="5" t="str">
        <f t="shared" si="1"/>
        <v>April 2011</v>
      </c>
      <c r="I605" s="6">
        <f t="shared" si="2"/>
        <v>40634</v>
      </c>
    </row>
    <row r="606">
      <c r="A606" s="2">
        <v>40664.0</v>
      </c>
      <c r="B606" s="3">
        <v>2011.0</v>
      </c>
      <c r="C606" s="3">
        <v>5.0</v>
      </c>
      <c r="D606" s="3" t="s">
        <v>10</v>
      </c>
      <c r="E606" s="3">
        <v>18.19</v>
      </c>
      <c r="F606" s="3">
        <v>21.73</v>
      </c>
      <c r="G606" s="3">
        <v>83.7</v>
      </c>
      <c r="H606" s="5" t="str">
        <f t="shared" si="1"/>
        <v>May 2011</v>
      </c>
      <c r="I606" s="6">
        <f t="shared" si="2"/>
        <v>40664</v>
      </c>
    </row>
    <row r="607">
      <c r="A607" s="2">
        <v>40695.0</v>
      </c>
      <c r="B607" s="3">
        <v>2011.0</v>
      </c>
      <c r="C607" s="3">
        <v>6.0</v>
      </c>
      <c r="D607" s="3" t="s">
        <v>10</v>
      </c>
      <c r="E607" s="3">
        <v>19.58</v>
      </c>
      <c r="F607" s="3">
        <v>23.4</v>
      </c>
      <c r="G607" s="3">
        <v>83.7</v>
      </c>
      <c r="H607" s="5" t="str">
        <f t="shared" si="1"/>
        <v>June 2011</v>
      </c>
      <c r="I607" s="6">
        <f t="shared" si="2"/>
        <v>40695</v>
      </c>
    </row>
    <row r="608">
      <c r="A608" s="2">
        <v>40725.0</v>
      </c>
      <c r="B608" s="3">
        <v>2011.0</v>
      </c>
      <c r="C608" s="3">
        <v>7.0</v>
      </c>
      <c r="D608" s="3" t="s">
        <v>10</v>
      </c>
      <c r="E608" s="3">
        <v>22.25</v>
      </c>
      <c r="F608" s="3">
        <v>26.99</v>
      </c>
      <c r="G608" s="3">
        <v>82.4</v>
      </c>
      <c r="H608" s="5" t="str">
        <f t="shared" si="1"/>
        <v>July 2011</v>
      </c>
      <c r="I608" s="6">
        <f t="shared" si="2"/>
        <v>40725</v>
      </c>
    </row>
    <row r="609">
      <c r="A609" s="2">
        <v>40756.0</v>
      </c>
      <c r="B609" s="3">
        <v>2011.0</v>
      </c>
      <c r="C609" s="3">
        <v>8.0</v>
      </c>
      <c r="D609" s="3" t="s">
        <v>10</v>
      </c>
      <c r="E609" s="3">
        <v>21.93</v>
      </c>
      <c r="F609" s="3">
        <v>26.48</v>
      </c>
      <c r="G609" s="3">
        <v>82.8</v>
      </c>
      <c r="H609" s="5" t="str">
        <f t="shared" si="1"/>
        <v>August 2011</v>
      </c>
      <c r="I609" s="6">
        <f t="shared" si="2"/>
        <v>40756</v>
      </c>
    </row>
    <row r="610">
      <c r="A610" s="2">
        <v>40787.0</v>
      </c>
      <c r="B610" s="3">
        <v>2011.0</v>
      </c>
      <c r="C610" s="3">
        <v>9.0</v>
      </c>
      <c r="D610" s="3" t="s">
        <v>10</v>
      </c>
      <c r="E610" s="3">
        <v>20.05</v>
      </c>
      <c r="F610" s="3">
        <v>24.27</v>
      </c>
      <c r="G610" s="3">
        <v>82.6</v>
      </c>
      <c r="H610" s="5" t="str">
        <f t="shared" si="1"/>
        <v>September 2011</v>
      </c>
      <c r="I610" s="6">
        <f t="shared" si="2"/>
        <v>40787</v>
      </c>
    </row>
    <row r="611">
      <c r="A611" s="4">
        <v>40817.0</v>
      </c>
      <c r="B611" s="3">
        <v>2011.0</v>
      </c>
      <c r="C611" s="3">
        <v>10.0</v>
      </c>
      <c r="D611" s="3" t="s">
        <v>10</v>
      </c>
      <c r="E611" s="3">
        <v>20.89</v>
      </c>
      <c r="F611" s="3">
        <v>25.51</v>
      </c>
      <c r="G611" s="3">
        <v>81.9</v>
      </c>
      <c r="H611" s="5" t="str">
        <f t="shared" si="1"/>
        <v>October 2011</v>
      </c>
      <c r="I611" s="6">
        <f t="shared" si="2"/>
        <v>40817</v>
      </c>
    </row>
    <row r="612">
      <c r="A612" s="4">
        <v>40848.0</v>
      </c>
      <c r="B612" s="3">
        <v>2011.0</v>
      </c>
      <c r="C612" s="3">
        <v>11.0</v>
      </c>
      <c r="D612" s="3" t="s">
        <v>10</v>
      </c>
      <c r="E612" s="3">
        <v>20.09</v>
      </c>
      <c r="F612" s="3">
        <v>24.54</v>
      </c>
      <c r="G612" s="3">
        <v>81.9</v>
      </c>
      <c r="H612" s="5" t="str">
        <f t="shared" si="1"/>
        <v>November 2011</v>
      </c>
      <c r="I612" s="6">
        <f t="shared" si="2"/>
        <v>40848</v>
      </c>
    </row>
    <row r="613">
      <c r="A613" s="4">
        <v>40878.0</v>
      </c>
      <c r="B613" s="3">
        <v>2011.0</v>
      </c>
      <c r="C613" s="3">
        <v>12.0</v>
      </c>
      <c r="D613" s="3" t="s">
        <v>10</v>
      </c>
      <c r="E613" s="3">
        <v>17.73</v>
      </c>
      <c r="F613" s="3">
        <v>21.7</v>
      </c>
      <c r="G613" s="3">
        <v>81.7</v>
      </c>
      <c r="H613" s="5" t="str">
        <f t="shared" si="1"/>
        <v>December 2011</v>
      </c>
      <c r="I613" s="6">
        <f t="shared" si="2"/>
        <v>40878</v>
      </c>
    </row>
    <row r="614">
      <c r="A614" s="2">
        <v>40909.0</v>
      </c>
      <c r="B614" s="3">
        <v>2012.0</v>
      </c>
      <c r="C614" s="3">
        <v>1.0</v>
      </c>
      <c r="D614" s="3" t="s">
        <v>10</v>
      </c>
      <c r="E614" s="3">
        <v>17.44</v>
      </c>
      <c r="F614" s="3">
        <v>21.21</v>
      </c>
      <c r="G614" s="3">
        <v>82.2</v>
      </c>
      <c r="H614" s="5" t="str">
        <f t="shared" si="1"/>
        <v>January 2012</v>
      </c>
      <c r="I614" s="6">
        <f t="shared" si="2"/>
        <v>40909</v>
      </c>
    </row>
    <row r="615">
      <c r="A615" s="2">
        <v>40940.0</v>
      </c>
      <c r="B615" s="3">
        <v>2012.0</v>
      </c>
      <c r="C615" s="3">
        <v>2.0</v>
      </c>
      <c r="D615" s="3" t="s">
        <v>10</v>
      </c>
      <c r="E615" s="3">
        <v>17.23</v>
      </c>
      <c r="F615" s="3">
        <v>20.49</v>
      </c>
      <c r="G615" s="3">
        <v>84.1</v>
      </c>
      <c r="H615" s="5" t="str">
        <f t="shared" si="1"/>
        <v>February 2012</v>
      </c>
      <c r="I615" s="6">
        <f t="shared" si="2"/>
        <v>40940</v>
      </c>
    </row>
    <row r="616">
      <c r="A616" s="2">
        <v>40969.0</v>
      </c>
      <c r="B616" s="3">
        <v>2012.0</v>
      </c>
      <c r="C616" s="3">
        <v>3.0</v>
      </c>
      <c r="D616" s="3" t="s">
        <v>10</v>
      </c>
      <c r="E616" s="3">
        <v>17.12</v>
      </c>
      <c r="F616" s="3">
        <v>20.79</v>
      </c>
      <c r="G616" s="3">
        <v>82.4</v>
      </c>
      <c r="H616" s="5" t="str">
        <f t="shared" si="1"/>
        <v>March 2012</v>
      </c>
      <c r="I616" s="6">
        <f t="shared" si="2"/>
        <v>40969</v>
      </c>
    </row>
    <row r="617">
      <c r="A617" s="2">
        <v>41000.0</v>
      </c>
      <c r="B617" s="3">
        <v>2012.0</v>
      </c>
      <c r="C617" s="3">
        <v>4.0</v>
      </c>
      <c r="D617" s="3" t="s">
        <v>10</v>
      </c>
      <c r="E617" s="3">
        <v>19.71</v>
      </c>
      <c r="F617" s="3">
        <v>25.1</v>
      </c>
      <c r="G617" s="3">
        <v>78.5</v>
      </c>
      <c r="H617" s="5" t="str">
        <f t="shared" si="1"/>
        <v>April 2012</v>
      </c>
      <c r="I617" s="6">
        <f t="shared" si="2"/>
        <v>41000</v>
      </c>
    </row>
    <row r="618">
      <c r="A618" s="2">
        <v>41030.0</v>
      </c>
      <c r="B618" s="3">
        <v>2012.0</v>
      </c>
      <c r="C618" s="3">
        <v>5.0</v>
      </c>
      <c r="D618" s="3" t="s">
        <v>10</v>
      </c>
      <c r="E618" s="3">
        <v>20.78</v>
      </c>
      <c r="F618" s="3">
        <v>25.71</v>
      </c>
      <c r="G618" s="3">
        <v>80.8</v>
      </c>
      <c r="H618" s="5" t="str">
        <f t="shared" si="1"/>
        <v>May 2012</v>
      </c>
      <c r="I618" s="6">
        <f t="shared" si="2"/>
        <v>41030</v>
      </c>
    </row>
    <row r="619">
      <c r="A619" s="2">
        <v>41061.0</v>
      </c>
      <c r="B619" s="3">
        <v>2012.0</v>
      </c>
      <c r="C619" s="3">
        <v>6.0</v>
      </c>
      <c r="D619" s="3" t="s">
        <v>10</v>
      </c>
      <c r="E619" s="3">
        <v>22.15</v>
      </c>
      <c r="F619" s="3">
        <v>27.62</v>
      </c>
      <c r="G619" s="3">
        <v>80.2</v>
      </c>
      <c r="H619" s="5" t="str">
        <f t="shared" si="1"/>
        <v>June 2012</v>
      </c>
      <c r="I619" s="6">
        <f t="shared" si="2"/>
        <v>41061</v>
      </c>
    </row>
    <row r="620">
      <c r="A620" s="2">
        <v>41091.0</v>
      </c>
      <c r="B620" s="3">
        <v>2012.0</v>
      </c>
      <c r="C620" s="3">
        <v>7.0</v>
      </c>
      <c r="D620" s="3" t="s">
        <v>10</v>
      </c>
      <c r="E620" s="3">
        <v>23.61</v>
      </c>
      <c r="F620" s="3">
        <v>27.55</v>
      </c>
      <c r="G620" s="3">
        <v>85.7</v>
      </c>
      <c r="H620" s="5" t="str">
        <f t="shared" si="1"/>
        <v>July 2012</v>
      </c>
      <c r="I620" s="6">
        <f t="shared" si="2"/>
        <v>41091</v>
      </c>
    </row>
    <row r="621">
      <c r="A621" s="2">
        <v>41122.0</v>
      </c>
      <c r="B621" s="3">
        <v>2012.0</v>
      </c>
      <c r="C621" s="3">
        <v>8.0</v>
      </c>
      <c r="D621" s="3" t="s">
        <v>10</v>
      </c>
      <c r="E621" s="3">
        <v>23.44</v>
      </c>
      <c r="F621" s="3">
        <v>29.42</v>
      </c>
      <c r="G621" s="3">
        <v>79.7</v>
      </c>
      <c r="H621" s="5" t="str">
        <f t="shared" si="1"/>
        <v>August 2012</v>
      </c>
      <c r="I621" s="6">
        <f t="shared" si="2"/>
        <v>41122</v>
      </c>
    </row>
    <row r="622">
      <c r="A622" s="2">
        <v>41153.0</v>
      </c>
      <c r="B622" s="3">
        <v>2012.0</v>
      </c>
      <c r="C622" s="3">
        <v>9.0</v>
      </c>
      <c r="D622" s="3" t="s">
        <v>10</v>
      </c>
      <c r="E622" s="3">
        <v>23.18</v>
      </c>
      <c r="F622" s="3">
        <v>27.13</v>
      </c>
      <c r="G622" s="3">
        <v>85.5</v>
      </c>
      <c r="H622" s="5" t="str">
        <f t="shared" si="1"/>
        <v>September 2012</v>
      </c>
      <c r="I622" s="6">
        <f t="shared" si="2"/>
        <v>41153</v>
      </c>
    </row>
    <row r="623">
      <c r="A623" s="4">
        <v>41183.0</v>
      </c>
      <c r="B623" s="3">
        <v>2012.0</v>
      </c>
      <c r="C623" s="3">
        <v>10.0</v>
      </c>
      <c r="D623" s="3" t="s">
        <v>10</v>
      </c>
      <c r="E623" s="3">
        <v>22.79</v>
      </c>
      <c r="F623" s="3">
        <v>27.82</v>
      </c>
      <c r="G623" s="3">
        <v>81.9</v>
      </c>
      <c r="H623" s="5" t="str">
        <f t="shared" si="1"/>
        <v>October 2012</v>
      </c>
      <c r="I623" s="6">
        <f t="shared" si="2"/>
        <v>41183</v>
      </c>
    </row>
    <row r="624">
      <c r="A624" s="4">
        <v>41214.0</v>
      </c>
      <c r="B624" s="3">
        <v>2012.0</v>
      </c>
      <c r="C624" s="3">
        <v>11.0</v>
      </c>
      <c r="D624" s="3" t="s">
        <v>10</v>
      </c>
      <c r="E624" s="3">
        <v>21.41</v>
      </c>
      <c r="F624" s="3">
        <v>26.72</v>
      </c>
      <c r="G624" s="3">
        <v>80.1</v>
      </c>
      <c r="H624" s="5" t="str">
        <f t="shared" si="1"/>
        <v>November 2012</v>
      </c>
      <c r="I624" s="6">
        <f t="shared" si="2"/>
        <v>41214</v>
      </c>
    </row>
    <row r="625">
      <c r="A625" s="4">
        <v>41244.0</v>
      </c>
      <c r="B625" s="3">
        <v>2012.0</v>
      </c>
      <c r="C625" s="3">
        <v>12.0</v>
      </c>
      <c r="D625" s="3" t="s">
        <v>10</v>
      </c>
      <c r="E625" s="3">
        <v>20.05</v>
      </c>
      <c r="F625" s="3">
        <v>23.07</v>
      </c>
      <c r="G625" s="3">
        <v>86.9</v>
      </c>
      <c r="H625" s="5" t="str">
        <f t="shared" si="1"/>
        <v>December 2012</v>
      </c>
      <c r="I625" s="6">
        <f t="shared" si="2"/>
        <v>41244</v>
      </c>
    </row>
    <row r="626">
      <c r="A626" s="2">
        <v>41275.0</v>
      </c>
      <c r="B626" s="3">
        <v>2013.0</v>
      </c>
      <c r="C626" s="3">
        <v>1.0</v>
      </c>
      <c r="D626" s="3" t="s">
        <v>10</v>
      </c>
      <c r="E626" s="3">
        <v>19.96</v>
      </c>
      <c r="F626" s="3">
        <v>24.86</v>
      </c>
      <c r="G626" s="3">
        <v>80.3</v>
      </c>
      <c r="H626" s="5" t="str">
        <f t="shared" si="1"/>
        <v>January 2013</v>
      </c>
      <c r="I626" s="6">
        <f t="shared" si="2"/>
        <v>41275</v>
      </c>
    </row>
    <row r="627">
      <c r="A627" s="2">
        <v>41306.0</v>
      </c>
      <c r="B627" s="3">
        <v>2013.0</v>
      </c>
      <c r="C627" s="3">
        <v>2.0</v>
      </c>
      <c r="D627" s="3" t="s">
        <v>10</v>
      </c>
      <c r="E627" s="3">
        <v>19.21</v>
      </c>
      <c r="F627" s="3">
        <v>23.91</v>
      </c>
      <c r="G627" s="3">
        <v>80.3</v>
      </c>
      <c r="H627" s="5" t="str">
        <f t="shared" si="1"/>
        <v>February 2013</v>
      </c>
      <c r="I627" s="6">
        <f t="shared" si="2"/>
        <v>41306</v>
      </c>
    </row>
    <row r="628">
      <c r="A628" s="2">
        <v>41334.0</v>
      </c>
      <c r="B628" s="3">
        <v>2013.0</v>
      </c>
      <c r="C628" s="3">
        <v>3.0</v>
      </c>
      <c r="D628" s="3" t="s">
        <v>10</v>
      </c>
      <c r="E628" s="3">
        <v>18.42</v>
      </c>
      <c r="F628" s="3">
        <v>21.92</v>
      </c>
      <c r="G628" s="3">
        <v>84.0</v>
      </c>
      <c r="H628" s="5" t="str">
        <f t="shared" si="1"/>
        <v>March 2013</v>
      </c>
      <c r="I628" s="6">
        <f t="shared" si="2"/>
        <v>41334</v>
      </c>
    </row>
    <row r="629">
      <c r="A629" s="2">
        <v>41365.0</v>
      </c>
      <c r="B629" s="3">
        <v>2013.0</v>
      </c>
      <c r="C629" s="3">
        <v>4.0</v>
      </c>
      <c r="D629" s="3" t="s">
        <v>10</v>
      </c>
      <c r="E629" s="3">
        <v>21.55</v>
      </c>
      <c r="F629" s="3">
        <v>25.63</v>
      </c>
      <c r="G629" s="3">
        <v>84.1</v>
      </c>
      <c r="H629" s="5" t="str">
        <f t="shared" si="1"/>
        <v>April 2013</v>
      </c>
      <c r="I629" s="6">
        <f t="shared" si="2"/>
        <v>41365</v>
      </c>
    </row>
    <row r="630">
      <c r="A630" s="2">
        <v>41395.0</v>
      </c>
      <c r="B630" s="3">
        <v>2013.0</v>
      </c>
      <c r="C630" s="3">
        <v>5.0</v>
      </c>
      <c r="D630" s="3" t="s">
        <v>10</v>
      </c>
      <c r="E630" s="3">
        <v>22.35</v>
      </c>
      <c r="F630" s="3">
        <v>27.37</v>
      </c>
      <c r="G630" s="3">
        <v>81.7</v>
      </c>
      <c r="H630" s="5" t="str">
        <f t="shared" si="1"/>
        <v>May 2013</v>
      </c>
      <c r="I630" s="6">
        <f t="shared" si="2"/>
        <v>41395</v>
      </c>
    </row>
    <row r="631">
      <c r="A631" s="2">
        <v>41426.0</v>
      </c>
      <c r="B631" s="3">
        <v>2013.0</v>
      </c>
      <c r="C631" s="3">
        <v>6.0</v>
      </c>
      <c r="D631" s="3" t="s">
        <v>10</v>
      </c>
      <c r="E631" s="3">
        <v>25.1</v>
      </c>
      <c r="F631" s="3">
        <v>30.33</v>
      </c>
      <c r="G631" s="3">
        <v>82.8</v>
      </c>
      <c r="H631" s="5" t="str">
        <f t="shared" si="1"/>
        <v>June 2013</v>
      </c>
      <c r="I631" s="6">
        <f t="shared" si="2"/>
        <v>41426</v>
      </c>
    </row>
    <row r="632">
      <c r="A632" s="2">
        <v>41456.0</v>
      </c>
      <c r="B632" s="3">
        <v>2013.0</v>
      </c>
      <c r="C632" s="3">
        <v>7.0</v>
      </c>
      <c r="D632" s="3" t="s">
        <v>10</v>
      </c>
      <c r="E632" s="3">
        <v>25.68</v>
      </c>
      <c r="F632" s="3">
        <v>32.61</v>
      </c>
      <c r="G632" s="3">
        <v>78.8</v>
      </c>
      <c r="H632" s="5" t="str">
        <f t="shared" si="1"/>
        <v>July 2013</v>
      </c>
      <c r="I632" s="6">
        <f t="shared" si="2"/>
        <v>41456</v>
      </c>
    </row>
    <row r="633">
      <c r="A633" s="2">
        <v>41487.0</v>
      </c>
      <c r="B633" s="3">
        <v>2013.0</v>
      </c>
      <c r="C633" s="3">
        <v>8.0</v>
      </c>
      <c r="D633" s="3" t="s">
        <v>10</v>
      </c>
      <c r="E633" s="3">
        <v>26.73</v>
      </c>
      <c r="F633" s="3">
        <v>31.77</v>
      </c>
      <c r="G633" s="3">
        <v>84.2</v>
      </c>
      <c r="H633" s="5" t="str">
        <f t="shared" si="1"/>
        <v>August 2013</v>
      </c>
      <c r="I633" s="6">
        <f t="shared" si="2"/>
        <v>41487</v>
      </c>
    </row>
    <row r="634">
      <c r="A634" s="2">
        <v>41518.0</v>
      </c>
      <c r="B634" s="3">
        <v>2013.0</v>
      </c>
      <c r="C634" s="3">
        <v>9.0</v>
      </c>
      <c r="D634" s="3" t="s">
        <v>10</v>
      </c>
      <c r="E634" s="3">
        <v>25.43</v>
      </c>
      <c r="F634" s="3">
        <v>30.54</v>
      </c>
      <c r="G634" s="3">
        <v>83.3</v>
      </c>
      <c r="H634" s="5" t="str">
        <f t="shared" si="1"/>
        <v>September 2013</v>
      </c>
      <c r="I634" s="6">
        <f t="shared" si="2"/>
        <v>41518</v>
      </c>
    </row>
    <row r="635">
      <c r="A635" s="4">
        <v>41548.0</v>
      </c>
      <c r="B635" s="3">
        <v>2013.0</v>
      </c>
      <c r="C635" s="3">
        <v>10.0</v>
      </c>
      <c r="D635" s="3" t="s">
        <v>10</v>
      </c>
      <c r="E635" s="3">
        <v>25.52</v>
      </c>
      <c r="F635" s="3">
        <v>30.56</v>
      </c>
      <c r="G635" s="3">
        <v>83.5</v>
      </c>
      <c r="H635" s="5" t="str">
        <f t="shared" si="1"/>
        <v>October 2013</v>
      </c>
      <c r="I635" s="6">
        <f t="shared" si="2"/>
        <v>41548</v>
      </c>
    </row>
    <row r="636">
      <c r="A636" s="4">
        <v>41579.0</v>
      </c>
      <c r="B636" s="3">
        <v>2013.0</v>
      </c>
      <c r="C636" s="3">
        <v>11.0</v>
      </c>
      <c r="D636" s="3" t="s">
        <v>10</v>
      </c>
      <c r="E636" s="3">
        <v>24.29</v>
      </c>
      <c r="F636" s="3">
        <v>30.14</v>
      </c>
      <c r="G636" s="3">
        <v>80.6</v>
      </c>
      <c r="H636" s="5" t="str">
        <f t="shared" si="1"/>
        <v>November 2013</v>
      </c>
      <c r="I636" s="6">
        <f t="shared" si="2"/>
        <v>41579</v>
      </c>
    </row>
    <row r="637">
      <c r="A637" s="4">
        <v>41609.0</v>
      </c>
      <c r="B637" s="3">
        <v>2013.0</v>
      </c>
      <c r="C637" s="3">
        <v>12.0</v>
      </c>
      <c r="D637" s="3" t="s">
        <v>10</v>
      </c>
      <c r="E637" s="3">
        <v>21.0</v>
      </c>
      <c r="F637" s="3">
        <v>25.95</v>
      </c>
      <c r="G637" s="3">
        <v>80.9</v>
      </c>
      <c r="H637" s="5" t="str">
        <f t="shared" si="1"/>
        <v>December 2013</v>
      </c>
      <c r="I637" s="6">
        <f t="shared" si="2"/>
        <v>41609</v>
      </c>
    </row>
    <row r="638">
      <c r="A638" s="2">
        <v>41640.0</v>
      </c>
      <c r="B638" s="3">
        <v>2014.0</v>
      </c>
      <c r="C638" s="3">
        <v>1.0</v>
      </c>
      <c r="D638" s="3" t="s">
        <v>10</v>
      </c>
      <c r="E638" s="3">
        <v>21.45</v>
      </c>
      <c r="F638" s="3">
        <v>26.51</v>
      </c>
      <c r="G638" s="3">
        <v>80.9</v>
      </c>
      <c r="H638" s="5" t="str">
        <f t="shared" si="1"/>
        <v>January 2014</v>
      </c>
      <c r="I638" s="6">
        <f t="shared" si="2"/>
        <v>41640</v>
      </c>
    </row>
    <row r="639">
      <c r="A639" s="2">
        <v>41671.0</v>
      </c>
      <c r="B639" s="3">
        <v>2014.0</v>
      </c>
      <c r="C639" s="3">
        <v>2.0</v>
      </c>
      <c r="D639" s="3" t="s">
        <v>10</v>
      </c>
      <c r="E639" s="3">
        <v>20.12</v>
      </c>
      <c r="F639" s="3">
        <v>25.68</v>
      </c>
      <c r="G639" s="3">
        <v>78.4</v>
      </c>
      <c r="H639" s="5" t="str">
        <f t="shared" si="1"/>
        <v>February 2014</v>
      </c>
      <c r="I639" s="6">
        <f t="shared" si="2"/>
        <v>41671</v>
      </c>
    </row>
    <row r="640">
      <c r="A640" s="2">
        <v>41699.0</v>
      </c>
      <c r="B640" s="3">
        <v>2014.0</v>
      </c>
      <c r="C640" s="3">
        <v>3.0</v>
      </c>
      <c r="D640" s="3" t="s">
        <v>10</v>
      </c>
      <c r="E640" s="3">
        <v>22.32</v>
      </c>
      <c r="F640" s="3">
        <v>26.68</v>
      </c>
      <c r="G640" s="3">
        <v>83.7</v>
      </c>
      <c r="H640" s="5" t="str">
        <f t="shared" si="1"/>
        <v>March 2014</v>
      </c>
      <c r="I640" s="6">
        <f t="shared" si="2"/>
        <v>41699</v>
      </c>
    </row>
    <row r="641">
      <c r="A641" s="2">
        <v>41730.0</v>
      </c>
      <c r="B641" s="3">
        <v>2014.0</v>
      </c>
      <c r="C641" s="3">
        <v>4.0</v>
      </c>
      <c r="D641" s="3" t="s">
        <v>10</v>
      </c>
      <c r="E641" s="3">
        <v>23.19</v>
      </c>
      <c r="F641" s="3">
        <v>27.63</v>
      </c>
      <c r="G641" s="3">
        <v>83.9</v>
      </c>
      <c r="H641" s="5" t="str">
        <f t="shared" si="1"/>
        <v>April 2014</v>
      </c>
      <c r="I641" s="6">
        <f t="shared" si="2"/>
        <v>41730</v>
      </c>
    </row>
    <row r="642">
      <c r="A642" s="2">
        <v>41760.0</v>
      </c>
      <c r="B642" s="3">
        <v>2014.0</v>
      </c>
      <c r="C642" s="3">
        <v>5.0</v>
      </c>
      <c r="D642" s="3" t="s">
        <v>10</v>
      </c>
      <c r="E642" s="3">
        <v>25.1</v>
      </c>
      <c r="F642" s="3">
        <v>30.79</v>
      </c>
      <c r="G642" s="3">
        <v>81.5</v>
      </c>
      <c r="H642" s="5" t="str">
        <f t="shared" si="1"/>
        <v>May 2014</v>
      </c>
      <c r="I642" s="6">
        <f t="shared" si="2"/>
        <v>41760</v>
      </c>
    </row>
    <row r="643">
      <c r="A643" s="2">
        <v>41791.0</v>
      </c>
      <c r="B643" s="3">
        <v>2014.0</v>
      </c>
      <c r="C643" s="3">
        <v>6.0</v>
      </c>
      <c r="D643" s="3" t="s">
        <v>10</v>
      </c>
      <c r="E643" s="3">
        <v>26.57</v>
      </c>
      <c r="F643" s="3">
        <v>32.74</v>
      </c>
      <c r="G643" s="3">
        <v>81.1</v>
      </c>
      <c r="H643" s="5" t="str">
        <f t="shared" si="1"/>
        <v>June 2014</v>
      </c>
      <c r="I643" s="6">
        <f t="shared" si="2"/>
        <v>41791</v>
      </c>
    </row>
    <row r="644">
      <c r="A644" s="2">
        <v>41821.0</v>
      </c>
      <c r="B644" s="3">
        <v>2014.0</v>
      </c>
      <c r="C644" s="3">
        <v>7.0</v>
      </c>
      <c r="D644" s="3" t="s">
        <v>10</v>
      </c>
      <c r="E644" s="3">
        <v>30.57</v>
      </c>
      <c r="F644" s="3">
        <v>36.78</v>
      </c>
      <c r="G644" s="3">
        <v>83.1</v>
      </c>
      <c r="H644" s="5" t="str">
        <f t="shared" si="1"/>
        <v>July 2014</v>
      </c>
      <c r="I644" s="6">
        <f t="shared" si="2"/>
        <v>41821</v>
      </c>
    </row>
    <row r="645">
      <c r="A645" s="2">
        <v>41852.0</v>
      </c>
      <c r="B645" s="3">
        <v>2014.0</v>
      </c>
      <c r="C645" s="3">
        <v>8.0</v>
      </c>
      <c r="D645" s="3" t="s">
        <v>10</v>
      </c>
      <c r="E645" s="3">
        <v>28.54</v>
      </c>
      <c r="F645" s="3">
        <v>34.42</v>
      </c>
      <c r="G645" s="3">
        <v>82.9</v>
      </c>
      <c r="H645" s="5" t="str">
        <f t="shared" si="1"/>
        <v>August 2014</v>
      </c>
      <c r="I645" s="6">
        <f t="shared" si="2"/>
        <v>41852</v>
      </c>
    </row>
    <row r="646">
      <c r="A646" s="2">
        <v>41883.0</v>
      </c>
      <c r="B646" s="3">
        <v>2014.0</v>
      </c>
      <c r="C646" s="3">
        <v>9.0</v>
      </c>
      <c r="D646" s="3" t="s">
        <v>10</v>
      </c>
      <c r="E646" s="3">
        <v>27.77</v>
      </c>
      <c r="F646" s="3">
        <v>32.67</v>
      </c>
      <c r="G646" s="3">
        <v>85.0</v>
      </c>
      <c r="H646" s="5" t="str">
        <f t="shared" si="1"/>
        <v>September 2014</v>
      </c>
      <c r="I646" s="6">
        <f t="shared" si="2"/>
        <v>41883</v>
      </c>
    </row>
    <row r="647">
      <c r="A647" s="4">
        <v>41913.0</v>
      </c>
      <c r="B647" s="3">
        <v>2014.0</v>
      </c>
      <c r="C647" s="3">
        <v>10.0</v>
      </c>
      <c r="D647" s="3" t="s">
        <v>10</v>
      </c>
      <c r="E647" s="3">
        <v>26.87</v>
      </c>
      <c r="F647" s="3">
        <v>32.38</v>
      </c>
      <c r="G647" s="3">
        <v>83.0</v>
      </c>
      <c r="H647" s="5" t="str">
        <f t="shared" si="1"/>
        <v>October 2014</v>
      </c>
      <c r="I647" s="6">
        <f t="shared" si="2"/>
        <v>41913</v>
      </c>
    </row>
    <row r="648">
      <c r="A648" s="4">
        <v>41944.0</v>
      </c>
      <c r="B648" s="3">
        <v>2014.0</v>
      </c>
      <c r="C648" s="3">
        <v>11.0</v>
      </c>
      <c r="D648" s="3" t="s">
        <v>10</v>
      </c>
      <c r="E648" s="3">
        <v>26.5</v>
      </c>
      <c r="F648" s="3">
        <v>32.02</v>
      </c>
      <c r="G648" s="3">
        <v>82.8</v>
      </c>
      <c r="H648" s="5" t="str">
        <f t="shared" si="1"/>
        <v>November 2014</v>
      </c>
      <c r="I648" s="6">
        <f t="shared" si="2"/>
        <v>41944</v>
      </c>
    </row>
    <row r="649">
      <c r="A649" s="4">
        <v>41974.0</v>
      </c>
      <c r="B649" s="3">
        <v>2014.0</v>
      </c>
      <c r="C649" s="3">
        <v>12.0</v>
      </c>
      <c r="D649" s="3" t="s">
        <v>10</v>
      </c>
      <c r="E649" s="3">
        <v>23.96</v>
      </c>
      <c r="F649" s="3">
        <v>29.22</v>
      </c>
      <c r="G649" s="3">
        <v>82.0</v>
      </c>
      <c r="H649" s="5" t="str">
        <f t="shared" si="1"/>
        <v>December 2014</v>
      </c>
      <c r="I649" s="6">
        <f t="shared" si="2"/>
        <v>41974</v>
      </c>
    </row>
    <row r="650">
      <c r="A650" s="2">
        <v>42005.0</v>
      </c>
      <c r="B650" s="3">
        <v>2015.0</v>
      </c>
      <c r="C650" s="3">
        <v>1.0</v>
      </c>
      <c r="D650" s="3" t="s">
        <v>10</v>
      </c>
      <c r="E650" s="3">
        <v>22.58</v>
      </c>
      <c r="F650" s="3">
        <v>27.93</v>
      </c>
      <c r="G650" s="3">
        <v>80.8</v>
      </c>
      <c r="H650" s="5" t="str">
        <f t="shared" si="1"/>
        <v>January 2015</v>
      </c>
      <c r="I650" s="6">
        <f t="shared" si="2"/>
        <v>42005</v>
      </c>
    </row>
    <row r="651">
      <c r="A651" s="2">
        <v>42036.0</v>
      </c>
      <c r="B651" s="3">
        <v>2015.0</v>
      </c>
      <c r="C651" s="3">
        <v>2.0</v>
      </c>
      <c r="D651" s="3" t="s">
        <v>10</v>
      </c>
      <c r="E651" s="3">
        <v>21.91</v>
      </c>
      <c r="F651" s="3">
        <v>25.79</v>
      </c>
      <c r="G651" s="3">
        <v>85.0</v>
      </c>
      <c r="H651" s="5" t="str">
        <f t="shared" si="1"/>
        <v>February 2015</v>
      </c>
      <c r="I651" s="6">
        <f t="shared" si="2"/>
        <v>42036</v>
      </c>
    </row>
    <row r="652">
      <c r="A652" s="2">
        <v>42064.0</v>
      </c>
      <c r="B652" s="3">
        <v>2015.0</v>
      </c>
      <c r="C652" s="3">
        <v>3.0</v>
      </c>
      <c r="D652" s="3" t="s">
        <v>10</v>
      </c>
      <c r="E652" s="3">
        <v>22.77</v>
      </c>
      <c r="F652" s="3">
        <v>28.31</v>
      </c>
      <c r="G652" s="3">
        <v>80.4</v>
      </c>
      <c r="H652" s="5" t="str">
        <f t="shared" si="1"/>
        <v>March 2015</v>
      </c>
      <c r="I652" s="6">
        <f t="shared" si="2"/>
        <v>42064</v>
      </c>
    </row>
    <row r="653">
      <c r="A653" s="2">
        <v>42095.0</v>
      </c>
      <c r="B653" s="3">
        <v>2015.0</v>
      </c>
      <c r="C653" s="3">
        <v>4.0</v>
      </c>
      <c r="D653" s="3" t="s">
        <v>10</v>
      </c>
      <c r="E653" s="3">
        <v>24.02</v>
      </c>
      <c r="F653" s="3">
        <v>28.53</v>
      </c>
      <c r="G653" s="3">
        <v>84.2</v>
      </c>
      <c r="H653" s="5" t="str">
        <f t="shared" si="1"/>
        <v>April 2015</v>
      </c>
      <c r="I653" s="6">
        <f t="shared" si="2"/>
        <v>42095</v>
      </c>
    </row>
    <row r="654">
      <c r="A654" s="2">
        <v>42125.0</v>
      </c>
      <c r="B654" s="3">
        <v>2015.0</v>
      </c>
      <c r="C654" s="3">
        <v>5.0</v>
      </c>
      <c r="D654" s="3" t="s">
        <v>10</v>
      </c>
      <c r="E654" s="3">
        <v>27.04</v>
      </c>
      <c r="F654" s="3">
        <v>32.53</v>
      </c>
      <c r="G654" s="3">
        <v>83.1</v>
      </c>
      <c r="H654" s="5" t="str">
        <f t="shared" si="1"/>
        <v>May 2015</v>
      </c>
      <c r="I654" s="6">
        <f t="shared" si="2"/>
        <v>42125</v>
      </c>
    </row>
    <row r="655">
      <c r="A655" s="2">
        <v>42156.0</v>
      </c>
      <c r="B655" s="3">
        <v>2015.0</v>
      </c>
      <c r="C655" s="3">
        <v>6.0</v>
      </c>
      <c r="D655" s="3" t="s">
        <v>10</v>
      </c>
      <c r="E655" s="3">
        <v>28.4</v>
      </c>
      <c r="F655" s="3">
        <v>34.16</v>
      </c>
      <c r="G655" s="3">
        <v>83.1</v>
      </c>
      <c r="H655" s="5" t="str">
        <f t="shared" si="1"/>
        <v>June 2015</v>
      </c>
      <c r="I655" s="6">
        <f t="shared" si="2"/>
        <v>42156</v>
      </c>
    </row>
    <row r="656">
      <c r="A656" s="2">
        <v>42186.0</v>
      </c>
      <c r="B656" s="3">
        <v>2015.0</v>
      </c>
      <c r="C656" s="3">
        <v>7.0</v>
      </c>
      <c r="D656" s="3" t="s">
        <v>10</v>
      </c>
      <c r="E656" s="3">
        <v>29.65</v>
      </c>
      <c r="F656" s="3">
        <v>36.39</v>
      </c>
      <c r="G656" s="3">
        <v>81.5</v>
      </c>
      <c r="H656" s="5" t="str">
        <f t="shared" si="1"/>
        <v>July 2015</v>
      </c>
      <c r="I656" s="6">
        <f t="shared" si="2"/>
        <v>42186</v>
      </c>
    </row>
    <row r="657">
      <c r="A657" s="2">
        <v>42217.0</v>
      </c>
      <c r="B657" s="3">
        <v>2015.0</v>
      </c>
      <c r="C657" s="3">
        <v>8.0</v>
      </c>
      <c r="D657" s="3" t="s">
        <v>10</v>
      </c>
      <c r="E657" s="3">
        <v>31.82</v>
      </c>
      <c r="F657" s="3">
        <v>37.99</v>
      </c>
      <c r="G657" s="3">
        <v>83.7</v>
      </c>
      <c r="H657" s="5" t="str">
        <f t="shared" si="1"/>
        <v>August 2015</v>
      </c>
      <c r="I657" s="6">
        <f t="shared" si="2"/>
        <v>42217</v>
      </c>
    </row>
    <row r="658">
      <c r="A658" s="2">
        <v>42248.0</v>
      </c>
      <c r="B658" s="3">
        <v>2015.0</v>
      </c>
      <c r="C658" s="3">
        <v>9.0</v>
      </c>
      <c r="D658" s="3" t="s">
        <v>10</v>
      </c>
      <c r="E658" s="3">
        <v>29.62</v>
      </c>
      <c r="F658" s="3">
        <v>36.89</v>
      </c>
      <c r="G658" s="3">
        <v>80.3</v>
      </c>
      <c r="H658" s="5" t="str">
        <f t="shared" si="1"/>
        <v>September 2015</v>
      </c>
      <c r="I658" s="6">
        <f t="shared" si="2"/>
        <v>42248</v>
      </c>
    </row>
    <row r="659">
      <c r="A659" s="4">
        <v>42278.0</v>
      </c>
      <c r="B659" s="3">
        <v>2015.0</v>
      </c>
      <c r="C659" s="3">
        <v>10.0</v>
      </c>
      <c r="D659" s="3" t="s">
        <v>10</v>
      </c>
      <c r="E659" s="3">
        <v>29.25</v>
      </c>
      <c r="F659" s="3">
        <v>34.24</v>
      </c>
      <c r="G659" s="3">
        <v>85.5</v>
      </c>
      <c r="H659" s="5" t="str">
        <f t="shared" si="1"/>
        <v>October 2015</v>
      </c>
      <c r="I659" s="6">
        <f t="shared" si="2"/>
        <v>42278</v>
      </c>
    </row>
    <row r="660">
      <c r="A660" s="4">
        <v>42309.0</v>
      </c>
      <c r="B660" s="3">
        <v>2015.0</v>
      </c>
      <c r="C660" s="3">
        <v>11.0</v>
      </c>
      <c r="D660" s="3" t="s">
        <v>10</v>
      </c>
      <c r="E660" s="3">
        <v>25.73</v>
      </c>
      <c r="F660" s="3">
        <v>31.16</v>
      </c>
      <c r="G660" s="3">
        <v>82.6</v>
      </c>
      <c r="H660" s="5" t="str">
        <f t="shared" si="1"/>
        <v>November 2015</v>
      </c>
      <c r="I660" s="6">
        <f t="shared" si="2"/>
        <v>42309</v>
      </c>
    </row>
    <row r="661">
      <c r="A661" s="4">
        <v>42339.0</v>
      </c>
      <c r="B661" s="3">
        <v>2015.0</v>
      </c>
      <c r="C661" s="3">
        <v>12.0</v>
      </c>
      <c r="D661" s="3" t="s">
        <v>10</v>
      </c>
      <c r="E661" s="3">
        <v>24.3</v>
      </c>
      <c r="F661" s="3">
        <v>30.1</v>
      </c>
      <c r="G661" s="3">
        <v>80.7</v>
      </c>
      <c r="H661" s="5" t="str">
        <f t="shared" si="1"/>
        <v>December 2015</v>
      </c>
      <c r="I661" s="6">
        <f t="shared" si="2"/>
        <v>42339</v>
      </c>
    </row>
    <row r="662">
      <c r="A662" s="2">
        <v>42370.0</v>
      </c>
      <c r="B662" s="3">
        <v>2016.0</v>
      </c>
      <c r="C662" s="3">
        <v>1.0</v>
      </c>
      <c r="D662" s="3" t="s">
        <v>10</v>
      </c>
      <c r="E662" s="3">
        <v>23.67</v>
      </c>
      <c r="F662" s="3">
        <v>29.16</v>
      </c>
      <c r="G662" s="3">
        <v>81.2</v>
      </c>
      <c r="H662" s="5" t="str">
        <f t="shared" si="1"/>
        <v>January 2016</v>
      </c>
      <c r="I662" s="6">
        <f t="shared" si="2"/>
        <v>42370</v>
      </c>
    </row>
    <row r="663">
      <c r="A663" s="2">
        <v>42401.0</v>
      </c>
      <c r="B663" s="3">
        <v>2016.0</v>
      </c>
      <c r="C663" s="3">
        <v>2.0</v>
      </c>
      <c r="D663" s="3" t="s">
        <v>10</v>
      </c>
      <c r="E663" s="3">
        <v>23.11</v>
      </c>
      <c r="F663" s="3">
        <v>28.18</v>
      </c>
      <c r="G663" s="3">
        <v>82.0</v>
      </c>
      <c r="H663" s="5" t="str">
        <f t="shared" si="1"/>
        <v>February 2016</v>
      </c>
      <c r="I663" s="6">
        <f t="shared" si="2"/>
        <v>42401</v>
      </c>
    </row>
    <row r="664">
      <c r="A664" s="2">
        <v>42430.0</v>
      </c>
      <c r="B664" s="3">
        <v>2016.0</v>
      </c>
      <c r="C664" s="3">
        <v>3.0</v>
      </c>
      <c r="D664" s="3" t="s">
        <v>10</v>
      </c>
      <c r="E664" s="3">
        <v>23.76</v>
      </c>
      <c r="F664" s="3">
        <v>30.05</v>
      </c>
      <c r="G664" s="3">
        <v>79.1</v>
      </c>
      <c r="H664" s="5" t="str">
        <f t="shared" si="1"/>
        <v>March 2016</v>
      </c>
      <c r="I664" s="6">
        <f t="shared" si="2"/>
        <v>42430</v>
      </c>
    </row>
    <row r="665">
      <c r="A665" s="2">
        <v>42461.0</v>
      </c>
      <c r="B665" s="3">
        <v>2016.0</v>
      </c>
      <c r="C665" s="3">
        <v>4.0</v>
      </c>
      <c r="D665" s="3" t="s">
        <v>10</v>
      </c>
      <c r="E665" s="3">
        <v>26.39</v>
      </c>
      <c r="F665" s="3">
        <v>31.61</v>
      </c>
      <c r="G665" s="3">
        <v>83.5</v>
      </c>
      <c r="H665" s="5" t="str">
        <f t="shared" si="1"/>
        <v>April 2016</v>
      </c>
      <c r="I665" s="6">
        <f t="shared" si="2"/>
        <v>42461</v>
      </c>
    </row>
    <row r="666">
      <c r="A666" s="2">
        <v>42491.0</v>
      </c>
      <c r="B666" s="3">
        <v>2016.0</v>
      </c>
      <c r="C666" s="3">
        <v>5.0</v>
      </c>
      <c r="D666" s="3" t="s">
        <v>10</v>
      </c>
      <c r="E666" s="3">
        <v>28.72</v>
      </c>
      <c r="F666" s="3">
        <v>36.39</v>
      </c>
      <c r="G666" s="3">
        <v>78.9</v>
      </c>
      <c r="H666" s="5" t="str">
        <f t="shared" si="1"/>
        <v>May 2016</v>
      </c>
      <c r="I666" s="6">
        <f t="shared" si="2"/>
        <v>42491</v>
      </c>
    </row>
    <row r="667">
      <c r="A667" s="2">
        <v>42522.0</v>
      </c>
      <c r="B667" s="3">
        <v>2016.0</v>
      </c>
      <c r="C667" s="3">
        <v>6.0</v>
      </c>
      <c r="D667" s="3" t="s">
        <v>10</v>
      </c>
      <c r="E667" s="3">
        <v>30.51</v>
      </c>
      <c r="F667" s="3">
        <v>36.6</v>
      </c>
      <c r="G667" s="3">
        <v>83.4</v>
      </c>
      <c r="H667" s="5" t="str">
        <f t="shared" si="1"/>
        <v>June 2016</v>
      </c>
      <c r="I667" s="6">
        <f t="shared" si="2"/>
        <v>42522</v>
      </c>
    </row>
    <row r="668">
      <c r="A668" s="2">
        <v>42552.0</v>
      </c>
      <c r="B668" s="3">
        <v>2016.0</v>
      </c>
      <c r="C668" s="3">
        <v>7.0</v>
      </c>
      <c r="D668" s="3" t="s">
        <v>10</v>
      </c>
      <c r="E668" s="3">
        <v>30.95</v>
      </c>
      <c r="F668" s="3">
        <v>37.73</v>
      </c>
      <c r="G668" s="3">
        <v>82.0</v>
      </c>
      <c r="H668" s="5" t="str">
        <f t="shared" si="1"/>
        <v>July 2016</v>
      </c>
      <c r="I668" s="6">
        <f t="shared" si="2"/>
        <v>42552</v>
      </c>
    </row>
    <row r="669">
      <c r="A669" s="2">
        <v>42583.0</v>
      </c>
      <c r="B669" s="3">
        <v>2016.0</v>
      </c>
      <c r="C669" s="3">
        <v>8.0</v>
      </c>
      <c r="D669" s="3" t="s">
        <v>10</v>
      </c>
      <c r="E669" s="3">
        <v>32.52</v>
      </c>
      <c r="F669" s="3">
        <v>37.95</v>
      </c>
      <c r="G669" s="3">
        <v>85.7</v>
      </c>
      <c r="H669" s="5" t="str">
        <f t="shared" si="1"/>
        <v>August 2016</v>
      </c>
      <c r="I669" s="6">
        <f t="shared" si="2"/>
        <v>42583</v>
      </c>
    </row>
    <row r="670">
      <c r="A670" s="2">
        <v>42614.0</v>
      </c>
      <c r="B670" s="3">
        <v>2016.0</v>
      </c>
      <c r="C670" s="3">
        <v>9.0</v>
      </c>
      <c r="D670" s="3" t="s">
        <v>10</v>
      </c>
      <c r="E670" s="3">
        <v>34.12</v>
      </c>
      <c r="F670" s="3">
        <v>43.37</v>
      </c>
      <c r="G670" s="3">
        <v>78.7</v>
      </c>
      <c r="H670" s="5" t="str">
        <f t="shared" si="1"/>
        <v>September 2016</v>
      </c>
      <c r="I670" s="6">
        <f t="shared" si="2"/>
        <v>42614</v>
      </c>
    </row>
    <row r="671">
      <c r="A671" s="4">
        <v>42644.0</v>
      </c>
      <c r="B671" s="3">
        <v>2016.0</v>
      </c>
      <c r="C671" s="3">
        <v>10.0</v>
      </c>
      <c r="D671" s="3" t="s">
        <v>10</v>
      </c>
      <c r="E671" s="3">
        <v>33.16</v>
      </c>
      <c r="F671" s="3">
        <v>41.37</v>
      </c>
      <c r="G671" s="3">
        <v>80.2</v>
      </c>
      <c r="H671" s="5" t="str">
        <f t="shared" si="1"/>
        <v>October 2016</v>
      </c>
      <c r="I671" s="6">
        <f t="shared" si="2"/>
        <v>42644</v>
      </c>
    </row>
    <row r="672">
      <c r="A672" s="4">
        <v>42675.0</v>
      </c>
      <c r="B672" s="3">
        <v>2016.0</v>
      </c>
      <c r="C672" s="3">
        <v>11.0</v>
      </c>
      <c r="D672" s="3" t="s">
        <v>10</v>
      </c>
      <c r="E672" s="3">
        <v>29.61</v>
      </c>
      <c r="F672" s="3">
        <v>35.27</v>
      </c>
      <c r="G672" s="3">
        <v>83.9</v>
      </c>
      <c r="H672" s="5" t="str">
        <f t="shared" si="1"/>
        <v>November 2016</v>
      </c>
      <c r="I672" s="6">
        <f t="shared" si="2"/>
        <v>42675</v>
      </c>
    </row>
    <row r="673">
      <c r="A673" s="4">
        <v>42705.0</v>
      </c>
      <c r="B673" s="3">
        <v>2016.0</v>
      </c>
      <c r="C673" s="3">
        <v>12.0</v>
      </c>
      <c r="D673" s="3" t="s">
        <v>10</v>
      </c>
      <c r="E673" s="3">
        <v>25.92</v>
      </c>
      <c r="F673" s="3">
        <v>31.24</v>
      </c>
      <c r="G673" s="3">
        <v>83.0</v>
      </c>
      <c r="H673" s="5" t="str">
        <f t="shared" si="1"/>
        <v>December 2016</v>
      </c>
      <c r="I673" s="6">
        <f t="shared" si="2"/>
        <v>42705</v>
      </c>
    </row>
    <row r="674">
      <c r="A674" s="2">
        <v>42736.0</v>
      </c>
      <c r="B674" s="3">
        <v>2017.0</v>
      </c>
      <c r="C674" s="3">
        <v>1.0</v>
      </c>
      <c r="D674" s="3" t="s">
        <v>10</v>
      </c>
      <c r="E674" s="3">
        <v>25.15</v>
      </c>
      <c r="F674" s="3">
        <v>30.26</v>
      </c>
      <c r="G674" s="3">
        <v>83.1</v>
      </c>
      <c r="H674" s="5" t="str">
        <f t="shared" si="1"/>
        <v>January 2017</v>
      </c>
      <c r="I674" s="6">
        <f t="shared" si="2"/>
        <v>42736</v>
      </c>
    </row>
    <row r="675">
      <c r="A675" s="2">
        <v>42767.0</v>
      </c>
      <c r="B675" s="3">
        <v>2017.0</v>
      </c>
      <c r="C675" s="3">
        <v>2.0</v>
      </c>
      <c r="D675" s="3" t="s">
        <v>10</v>
      </c>
      <c r="E675" s="3">
        <v>24.93</v>
      </c>
      <c r="F675" s="3">
        <v>29.54</v>
      </c>
      <c r="G675" s="3">
        <v>84.4</v>
      </c>
      <c r="H675" s="5" t="str">
        <f t="shared" si="1"/>
        <v>February 2017</v>
      </c>
      <c r="I675" s="6">
        <f t="shared" si="2"/>
        <v>42767</v>
      </c>
    </row>
    <row r="676">
      <c r="A676" s="2">
        <v>42795.0</v>
      </c>
      <c r="B676" s="3">
        <v>2017.0</v>
      </c>
      <c r="C676" s="3">
        <v>3.0</v>
      </c>
      <c r="D676" s="3" t="s">
        <v>10</v>
      </c>
      <c r="E676" s="3">
        <v>25.51</v>
      </c>
      <c r="F676" s="3">
        <v>31.24</v>
      </c>
      <c r="G676" s="3">
        <v>81.7</v>
      </c>
      <c r="H676" s="5" t="str">
        <f t="shared" si="1"/>
        <v>March 2017</v>
      </c>
      <c r="I676" s="6">
        <f t="shared" si="2"/>
        <v>42795</v>
      </c>
    </row>
    <row r="677">
      <c r="A677" s="2">
        <v>42826.0</v>
      </c>
      <c r="B677" s="3">
        <v>2017.0</v>
      </c>
      <c r="C677" s="3">
        <v>4.0</v>
      </c>
      <c r="D677" s="3" t="s">
        <v>10</v>
      </c>
      <c r="E677" s="3">
        <v>28.08</v>
      </c>
      <c r="F677" s="3">
        <v>33.77</v>
      </c>
      <c r="G677" s="3">
        <v>83.2</v>
      </c>
      <c r="H677" s="5" t="str">
        <f t="shared" si="1"/>
        <v>April 2017</v>
      </c>
      <c r="I677" s="6">
        <f t="shared" si="2"/>
        <v>42826</v>
      </c>
    </row>
    <row r="678">
      <c r="A678" s="2">
        <v>42856.0</v>
      </c>
      <c r="B678" s="3">
        <v>2017.0</v>
      </c>
      <c r="C678" s="3">
        <v>5.0</v>
      </c>
      <c r="D678" s="3" t="s">
        <v>10</v>
      </c>
      <c r="E678" s="3">
        <v>30.15</v>
      </c>
      <c r="F678" s="3">
        <v>37.38</v>
      </c>
      <c r="G678" s="3">
        <v>80.7</v>
      </c>
      <c r="H678" s="5" t="str">
        <f t="shared" si="1"/>
        <v>May 2017</v>
      </c>
      <c r="I678" s="6">
        <f t="shared" si="2"/>
        <v>42856</v>
      </c>
    </row>
    <row r="679">
      <c r="A679" s="2">
        <v>42887.0</v>
      </c>
      <c r="B679" s="3">
        <v>2017.0</v>
      </c>
      <c r="C679" s="3">
        <v>6.0</v>
      </c>
      <c r="D679" s="3" t="s">
        <v>10</v>
      </c>
      <c r="E679" s="3">
        <v>30.86</v>
      </c>
      <c r="F679" s="3">
        <v>38.17</v>
      </c>
      <c r="G679" s="3">
        <v>80.9</v>
      </c>
      <c r="H679" s="5" t="str">
        <f t="shared" si="1"/>
        <v>June 2017</v>
      </c>
      <c r="I679" s="6">
        <f t="shared" si="2"/>
        <v>42887</v>
      </c>
    </row>
    <row r="680">
      <c r="A680" s="2">
        <v>42917.0</v>
      </c>
      <c r="B680" s="3">
        <v>2017.0</v>
      </c>
      <c r="C680" s="3">
        <v>7.0</v>
      </c>
      <c r="D680" s="3" t="s">
        <v>10</v>
      </c>
      <c r="E680" s="3">
        <v>32.99</v>
      </c>
      <c r="F680" s="3">
        <v>39.48</v>
      </c>
      <c r="G680" s="3">
        <v>83.6</v>
      </c>
      <c r="H680" s="5" t="str">
        <f t="shared" si="1"/>
        <v>July 2017</v>
      </c>
      <c r="I680" s="6">
        <f t="shared" si="2"/>
        <v>42917</v>
      </c>
    </row>
    <row r="681">
      <c r="A681" s="2">
        <v>42948.0</v>
      </c>
      <c r="B681" s="3">
        <v>2017.0</v>
      </c>
      <c r="C681" s="3">
        <v>8.0</v>
      </c>
      <c r="D681" s="3" t="s">
        <v>10</v>
      </c>
      <c r="E681" s="3">
        <v>35.38</v>
      </c>
      <c r="F681" s="3">
        <v>43.31</v>
      </c>
      <c r="G681" s="3">
        <v>81.7</v>
      </c>
      <c r="H681" s="5" t="str">
        <f t="shared" si="1"/>
        <v>August 2017</v>
      </c>
      <c r="I681" s="6">
        <f t="shared" si="2"/>
        <v>42948</v>
      </c>
    </row>
    <row r="682">
      <c r="A682" s="2">
        <v>42979.0</v>
      </c>
      <c r="B682" s="3">
        <v>2017.0</v>
      </c>
      <c r="C682" s="3">
        <v>9.0</v>
      </c>
      <c r="D682" s="3" t="s">
        <v>10</v>
      </c>
      <c r="E682" s="3">
        <v>35.38</v>
      </c>
      <c r="F682" s="3">
        <v>41.76</v>
      </c>
      <c r="G682" s="3">
        <v>84.7</v>
      </c>
      <c r="H682" s="5" t="str">
        <f t="shared" si="1"/>
        <v>September 2017</v>
      </c>
      <c r="I682" s="6">
        <f t="shared" si="2"/>
        <v>42979</v>
      </c>
    </row>
    <row r="683">
      <c r="A683" s="4">
        <v>43009.0</v>
      </c>
      <c r="B683" s="3">
        <v>2017.0</v>
      </c>
      <c r="C683" s="3">
        <v>10.0</v>
      </c>
      <c r="D683" s="3" t="s">
        <v>10</v>
      </c>
      <c r="E683" s="3">
        <v>32.62</v>
      </c>
      <c r="F683" s="3">
        <v>40.6</v>
      </c>
      <c r="G683" s="3">
        <v>80.4</v>
      </c>
      <c r="H683" s="5" t="str">
        <f t="shared" si="1"/>
        <v>October 2017</v>
      </c>
      <c r="I683" s="6">
        <f t="shared" si="2"/>
        <v>43009</v>
      </c>
    </row>
    <row r="684">
      <c r="A684" s="4">
        <v>43040.0</v>
      </c>
      <c r="B684" s="3">
        <v>2017.0</v>
      </c>
      <c r="C684" s="3">
        <v>11.0</v>
      </c>
      <c r="D684" s="3" t="s">
        <v>10</v>
      </c>
      <c r="E684" s="3">
        <v>31.71</v>
      </c>
      <c r="F684" s="3">
        <v>38.73</v>
      </c>
      <c r="G684" s="3">
        <v>81.9</v>
      </c>
      <c r="H684" s="5" t="str">
        <f t="shared" si="1"/>
        <v>November 2017</v>
      </c>
      <c r="I684" s="6">
        <f t="shared" si="2"/>
        <v>43040</v>
      </c>
    </row>
    <row r="685">
      <c r="A685" s="4">
        <v>43070.0</v>
      </c>
      <c r="B685" s="3">
        <v>2017.0</v>
      </c>
      <c r="C685" s="3">
        <v>12.0</v>
      </c>
      <c r="D685" s="3" t="s">
        <v>10</v>
      </c>
      <c r="E685" s="3">
        <v>28.2</v>
      </c>
      <c r="F685" s="3">
        <v>34.68</v>
      </c>
      <c r="G685" s="3">
        <v>81.3</v>
      </c>
      <c r="H685" s="5" t="str">
        <f t="shared" si="1"/>
        <v>December 2017</v>
      </c>
      <c r="I685" s="6">
        <f t="shared" si="2"/>
        <v>43070</v>
      </c>
    </row>
    <row r="686">
      <c r="A686" s="2">
        <v>43101.0</v>
      </c>
      <c r="B686" s="3">
        <v>2018.0</v>
      </c>
      <c r="C686" s="3">
        <v>1.0</v>
      </c>
      <c r="D686" s="3" t="s">
        <v>10</v>
      </c>
      <c r="E686" s="3">
        <v>25.84</v>
      </c>
      <c r="F686" s="3">
        <v>32.68</v>
      </c>
      <c r="G686" s="3">
        <v>79.1</v>
      </c>
      <c r="H686" s="5" t="str">
        <f t="shared" si="1"/>
        <v>January 2018</v>
      </c>
      <c r="I686" s="6">
        <f t="shared" si="2"/>
        <v>43101</v>
      </c>
    </row>
    <row r="687">
      <c r="A687" s="2">
        <v>43132.0</v>
      </c>
      <c r="B687" s="3">
        <v>2018.0</v>
      </c>
      <c r="C687" s="3">
        <v>2.0</v>
      </c>
      <c r="D687" s="3" t="s">
        <v>10</v>
      </c>
      <c r="E687" s="3">
        <v>26.53</v>
      </c>
      <c r="F687" s="3">
        <v>32.98</v>
      </c>
      <c r="G687" s="3">
        <v>80.4</v>
      </c>
      <c r="H687" s="5" t="str">
        <f t="shared" si="1"/>
        <v>February 2018</v>
      </c>
      <c r="I687" s="6">
        <f t="shared" si="2"/>
        <v>43132</v>
      </c>
    </row>
    <row r="688">
      <c r="A688" s="2">
        <v>43160.0</v>
      </c>
      <c r="B688" s="3">
        <v>2018.0</v>
      </c>
      <c r="C688" s="3">
        <v>3.0</v>
      </c>
      <c r="D688" s="3" t="s">
        <v>10</v>
      </c>
      <c r="E688" s="3">
        <v>29.33</v>
      </c>
      <c r="F688" s="3">
        <v>36.74</v>
      </c>
      <c r="G688" s="3">
        <v>79.8</v>
      </c>
      <c r="H688" s="5" t="str">
        <f t="shared" si="1"/>
        <v>March 2018</v>
      </c>
      <c r="I688" s="6">
        <f t="shared" si="2"/>
        <v>43160</v>
      </c>
    </row>
    <row r="689">
      <c r="A689" s="2">
        <v>43191.0</v>
      </c>
      <c r="B689" s="3">
        <v>2018.0</v>
      </c>
      <c r="C689" s="3">
        <v>4.0</v>
      </c>
      <c r="D689" s="3" t="s">
        <v>10</v>
      </c>
      <c r="E689" s="3">
        <v>27.5</v>
      </c>
      <c r="F689" s="3">
        <v>33.13</v>
      </c>
      <c r="G689" s="3">
        <v>83.0</v>
      </c>
      <c r="H689" s="5" t="str">
        <f t="shared" si="1"/>
        <v>April 2018</v>
      </c>
      <c r="I689" s="6">
        <f t="shared" si="2"/>
        <v>43191</v>
      </c>
    </row>
    <row r="690">
      <c r="A690" s="2">
        <v>43221.0</v>
      </c>
      <c r="B690" s="3">
        <v>2018.0</v>
      </c>
      <c r="C690" s="3">
        <v>5.0</v>
      </c>
      <c r="D690" s="3" t="s">
        <v>10</v>
      </c>
      <c r="E690" s="3">
        <v>32.46</v>
      </c>
      <c r="F690" s="3">
        <v>39.52</v>
      </c>
      <c r="G690" s="3">
        <v>82.1</v>
      </c>
      <c r="H690" s="5" t="str">
        <f t="shared" si="1"/>
        <v>May 2018</v>
      </c>
      <c r="I690" s="6">
        <f t="shared" si="2"/>
        <v>43221</v>
      </c>
    </row>
    <row r="691">
      <c r="A691" s="2">
        <v>43252.0</v>
      </c>
      <c r="B691" s="3">
        <v>2018.0</v>
      </c>
      <c r="C691" s="3">
        <v>6.0</v>
      </c>
      <c r="D691" s="3" t="s">
        <v>10</v>
      </c>
      <c r="E691" s="3">
        <v>34.04</v>
      </c>
      <c r="F691" s="3">
        <v>43.47</v>
      </c>
      <c r="G691" s="3">
        <v>78.3</v>
      </c>
      <c r="H691" s="5" t="str">
        <f t="shared" si="1"/>
        <v>June 2018</v>
      </c>
      <c r="I691" s="6">
        <f t="shared" si="2"/>
        <v>43252</v>
      </c>
    </row>
    <row r="692">
      <c r="A692" s="2">
        <v>43282.0</v>
      </c>
      <c r="B692" s="3">
        <v>2018.0</v>
      </c>
      <c r="C692" s="3">
        <v>7.0</v>
      </c>
      <c r="D692" s="3" t="s">
        <v>10</v>
      </c>
      <c r="E692" s="3">
        <v>34.6</v>
      </c>
      <c r="F692" s="3">
        <v>43.33</v>
      </c>
      <c r="G692" s="3">
        <v>79.9</v>
      </c>
      <c r="H692" s="5" t="str">
        <f t="shared" si="1"/>
        <v>July 2018</v>
      </c>
      <c r="I692" s="6">
        <f t="shared" si="2"/>
        <v>43282</v>
      </c>
    </row>
    <row r="693">
      <c r="A693" s="2">
        <v>43313.0</v>
      </c>
      <c r="B693" s="3">
        <v>2018.0</v>
      </c>
      <c r="C693" s="3">
        <v>8.0</v>
      </c>
      <c r="D693" s="3" t="s">
        <v>10</v>
      </c>
      <c r="E693" s="3">
        <v>34.09</v>
      </c>
      <c r="F693" s="3">
        <v>41.45</v>
      </c>
      <c r="G693" s="3">
        <v>82.2</v>
      </c>
      <c r="H693" s="5" t="str">
        <f t="shared" si="1"/>
        <v>August 2018</v>
      </c>
      <c r="I693" s="6">
        <f t="shared" si="2"/>
        <v>43313</v>
      </c>
    </row>
    <row r="694">
      <c r="A694" s="2">
        <v>43344.0</v>
      </c>
      <c r="B694" s="3">
        <v>2018.0</v>
      </c>
      <c r="C694" s="3">
        <v>9.0</v>
      </c>
      <c r="D694" s="3" t="s">
        <v>10</v>
      </c>
      <c r="E694" s="3">
        <v>33.28</v>
      </c>
      <c r="F694" s="3">
        <v>41.93</v>
      </c>
      <c r="G694" s="3">
        <v>79.4</v>
      </c>
      <c r="H694" s="5" t="str">
        <f t="shared" si="1"/>
        <v>September 2018</v>
      </c>
      <c r="I694" s="6">
        <f t="shared" si="2"/>
        <v>43344</v>
      </c>
    </row>
    <row r="695">
      <c r="A695" s="4">
        <v>43374.0</v>
      </c>
      <c r="B695" s="3">
        <v>2018.0</v>
      </c>
      <c r="C695" s="3">
        <v>10.0</v>
      </c>
      <c r="D695" s="3" t="s">
        <v>10</v>
      </c>
      <c r="E695" s="3">
        <v>33.45</v>
      </c>
      <c r="F695" s="3">
        <v>41.64</v>
      </c>
      <c r="G695" s="3">
        <v>80.3</v>
      </c>
      <c r="H695" s="5" t="str">
        <f t="shared" si="1"/>
        <v>October 2018</v>
      </c>
      <c r="I695" s="6">
        <f t="shared" si="2"/>
        <v>43374</v>
      </c>
    </row>
    <row r="696">
      <c r="A696" s="4">
        <v>43405.0</v>
      </c>
      <c r="B696" s="3">
        <v>2018.0</v>
      </c>
      <c r="C696" s="3">
        <v>11.0</v>
      </c>
      <c r="D696" s="3" t="s">
        <v>10</v>
      </c>
      <c r="E696" s="3">
        <v>32.13</v>
      </c>
      <c r="F696" s="3">
        <v>38.89</v>
      </c>
      <c r="G696" s="3">
        <v>82.6</v>
      </c>
      <c r="H696" s="5" t="str">
        <f t="shared" si="1"/>
        <v>November 2018</v>
      </c>
      <c r="I696" s="6">
        <f t="shared" si="2"/>
        <v>43405</v>
      </c>
    </row>
    <row r="697">
      <c r="A697" s="4">
        <v>43435.0</v>
      </c>
      <c r="B697" s="3">
        <v>2018.0</v>
      </c>
      <c r="C697" s="3">
        <v>12.0</v>
      </c>
      <c r="D697" s="3" t="s">
        <v>10</v>
      </c>
      <c r="E697" s="3">
        <v>30.29</v>
      </c>
      <c r="F697" s="3">
        <v>36.27</v>
      </c>
      <c r="G697" s="3">
        <v>83.5</v>
      </c>
      <c r="H697" s="5" t="str">
        <f t="shared" si="1"/>
        <v>December 2018</v>
      </c>
      <c r="I697" s="6">
        <f t="shared" si="2"/>
        <v>43435</v>
      </c>
    </row>
    <row r="698">
      <c r="A698" s="2">
        <v>43466.0</v>
      </c>
      <c r="B698" s="3">
        <v>2019.0</v>
      </c>
      <c r="C698" s="3">
        <v>1.0</v>
      </c>
      <c r="D698" s="3" t="s">
        <v>10</v>
      </c>
      <c r="E698" s="3">
        <v>28.81</v>
      </c>
      <c r="F698" s="3">
        <v>35.14</v>
      </c>
      <c r="G698" s="3">
        <v>82.0</v>
      </c>
      <c r="H698" s="5" t="str">
        <f t="shared" si="1"/>
        <v>January 2019</v>
      </c>
      <c r="I698" s="6">
        <f t="shared" si="2"/>
        <v>43466</v>
      </c>
    </row>
    <row r="699">
      <c r="A699" s="2">
        <v>43497.0</v>
      </c>
      <c r="B699" s="3">
        <v>2019.0</v>
      </c>
      <c r="C699" s="3">
        <v>2.0</v>
      </c>
      <c r="D699" s="3" t="s">
        <v>10</v>
      </c>
      <c r="E699" s="3">
        <v>25.95</v>
      </c>
      <c r="F699" s="3">
        <v>31.25</v>
      </c>
      <c r="G699" s="3">
        <v>83.0</v>
      </c>
      <c r="H699" s="5" t="str">
        <f t="shared" si="1"/>
        <v>February 2019</v>
      </c>
      <c r="I699" s="6">
        <f t="shared" si="2"/>
        <v>43497</v>
      </c>
    </row>
    <row r="700">
      <c r="A700" s="2">
        <v>43525.0</v>
      </c>
      <c r="B700" s="3">
        <v>2019.0</v>
      </c>
      <c r="C700" s="3">
        <v>3.0</v>
      </c>
      <c r="D700" s="3" t="s">
        <v>10</v>
      </c>
      <c r="E700" s="3">
        <v>24.9</v>
      </c>
      <c r="F700" s="3">
        <v>30.67</v>
      </c>
      <c r="G700" s="3">
        <v>81.2</v>
      </c>
      <c r="H700" s="5" t="str">
        <f t="shared" si="1"/>
        <v>March 2019</v>
      </c>
      <c r="I700" s="6">
        <f t="shared" si="2"/>
        <v>43525</v>
      </c>
    </row>
    <row r="701">
      <c r="A701" s="2">
        <v>43556.0</v>
      </c>
      <c r="B701" s="3">
        <v>2019.0</v>
      </c>
      <c r="C701" s="3">
        <v>4.0</v>
      </c>
      <c r="D701" s="3" t="s">
        <v>10</v>
      </c>
      <c r="E701" s="3">
        <v>24.5</v>
      </c>
      <c r="F701" s="3">
        <v>30.48</v>
      </c>
      <c r="G701" s="3">
        <v>80.4</v>
      </c>
      <c r="H701" s="5" t="str">
        <f t="shared" si="1"/>
        <v>April 2019</v>
      </c>
      <c r="I701" s="6">
        <f t="shared" si="2"/>
        <v>43556</v>
      </c>
    </row>
    <row r="702">
      <c r="A702" s="2">
        <v>43586.0</v>
      </c>
      <c r="B702" s="3">
        <v>2019.0</v>
      </c>
      <c r="C702" s="3">
        <v>5.0</v>
      </c>
      <c r="D702" s="3" t="s">
        <v>10</v>
      </c>
      <c r="E702" s="3">
        <v>25.32</v>
      </c>
      <c r="F702" s="3">
        <v>30.95</v>
      </c>
      <c r="G702" s="3">
        <v>81.8</v>
      </c>
      <c r="H702" s="5" t="str">
        <f t="shared" si="1"/>
        <v>May 2019</v>
      </c>
      <c r="I702" s="6">
        <f t="shared" si="2"/>
        <v>43586</v>
      </c>
    </row>
    <row r="703">
      <c r="A703" s="2">
        <v>43617.0</v>
      </c>
      <c r="B703" s="3">
        <v>2019.0</v>
      </c>
      <c r="C703" s="3">
        <v>6.0</v>
      </c>
      <c r="D703" s="3" t="s">
        <v>10</v>
      </c>
      <c r="E703" s="3">
        <v>24.5</v>
      </c>
      <c r="F703" s="3">
        <v>30.37</v>
      </c>
      <c r="G703" s="3">
        <v>80.7</v>
      </c>
      <c r="H703" s="5" t="str">
        <f t="shared" si="1"/>
        <v>June 2019</v>
      </c>
      <c r="I703" s="6">
        <f t="shared" si="2"/>
        <v>43617</v>
      </c>
    </row>
    <row r="704">
      <c r="A704" s="2">
        <v>43647.0</v>
      </c>
      <c r="B704" s="3">
        <v>2019.0</v>
      </c>
      <c r="C704" s="3">
        <v>7.0</v>
      </c>
      <c r="D704" s="3" t="s">
        <v>10</v>
      </c>
      <c r="E704" s="3">
        <v>23.43</v>
      </c>
      <c r="F704" s="3">
        <v>27.9</v>
      </c>
      <c r="G704" s="3">
        <v>84.0</v>
      </c>
      <c r="H704" s="5" t="str">
        <f t="shared" si="1"/>
        <v>July 2019</v>
      </c>
      <c r="I704" s="6">
        <f t="shared" si="2"/>
        <v>43647</v>
      </c>
    </row>
    <row r="705">
      <c r="A705" s="2">
        <v>43678.0</v>
      </c>
      <c r="B705" s="3">
        <v>2019.0</v>
      </c>
      <c r="C705" s="3">
        <v>8.0</v>
      </c>
      <c r="D705" s="3" t="s">
        <v>10</v>
      </c>
      <c r="E705" s="3">
        <v>22.77</v>
      </c>
      <c r="F705" s="3">
        <v>28.36</v>
      </c>
      <c r="G705" s="3">
        <v>80.3</v>
      </c>
      <c r="H705" s="5" t="str">
        <f t="shared" si="1"/>
        <v>August 2019</v>
      </c>
      <c r="I705" s="6">
        <f t="shared" si="2"/>
        <v>43678</v>
      </c>
    </row>
    <row r="706">
      <c r="A706" s="2">
        <v>43709.0</v>
      </c>
      <c r="B706" s="3">
        <v>2019.0</v>
      </c>
      <c r="C706" s="3">
        <v>9.0</v>
      </c>
      <c r="D706" s="3" t="s">
        <v>10</v>
      </c>
      <c r="E706" s="3">
        <v>20.84</v>
      </c>
      <c r="F706" s="3">
        <v>25.76</v>
      </c>
      <c r="G706" s="3">
        <v>80.9</v>
      </c>
      <c r="H706" s="5" t="str">
        <f t="shared" si="1"/>
        <v>September 2019</v>
      </c>
      <c r="I706" s="6">
        <f t="shared" si="2"/>
        <v>43709</v>
      </c>
    </row>
    <row r="707">
      <c r="A707" s="4">
        <v>43739.0</v>
      </c>
      <c r="B707" s="3">
        <v>2019.0</v>
      </c>
      <c r="C707" s="3">
        <v>10.0</v>
      </c>
      <c r="D707" s="3" t="s">
        <v>10</v>
      </c>
      <c r="E707" s="3">
        <v>16.75</v>
      </c>
      <c r="F707" s="3">
        <v>19.93</v>
      </c>
      <c r="G707" s="3">
        <v>84.0</v>
      </c>
      <c r="H707" s="5" t="str">
        <f t="shared" si="1"/>
        <v>October 2019</v>
      </c>
      <c r="I707" s="6">
        <f t="shared" si="2"/>
        <v>43739</v>
      </c>
    </row>
    <row r="708">
      <c r="A708" s="4">
        <v>43770.0</v>
      </c>
      <c r="B708" s="3">
        <v>2019.0</v>
      </c>
      <c r="C708" s="3">
        <v>11.0</v>
      </c>
      <c r="D708" s="3" t="s">
        <v>10</v>
      </c>
      <c r="E708" s="3">
        <v>14.27</v>
      </c>
      <c r="F708" s="3">
        <v>17.58</v>
      </c>
      <c r="G708" s="3">
        <v>81.2</v>
      </c>
      <c r="H708" s="5" t="str">
        <f t="shared" si="1"/>
        <v>November 2019</v>
      </c>
      <c r="I708" s="6">
        <f t="shared" si="2"/>
        <v>43770</v>
      </c>
    </row>
    <row r="709">
      <c r="A709" s="4">
        <v>43800.0</v>
      </c>
      <c r="B709" s="3">
        <v>2019.0</v>
      </c>
      <c r="C709" s="3">
        <v>12.0</v>
      </c>
      <c r="D709" s="3" t="s">
        <v>10</v>
      </c>
      <c r="E709" s="3">
        <v>11.81</v>
      </c>
      <c r="F709" s="3">
        <v>14.01</v>
      </c>
      <c r="G709" s="3">
        <v>84.3</v>
      </c>
      <c r="H709" s="5" t="str">
        <f t="shared" si="1"/>
        <v>December 2019</v>
      </c>
      <c r="I709" s="6">
        <f t="shared" si="2"/>
        <v>43800</v>
      </c>
    </row>
    <row r="710">
      <c r="A710" s="2">
        <v>43831.0</v>
      </c>
      <c r="B710" s="3">
        <v>2020.0</v>
      </c>
      <c r="C710" s="3">
        <v>1.0</v>
      </c>
      <c r="D710" s="3" t="s">
        <v>10</v>
      </c>
      <c r="E710" s="3">
        <v>9.58</v>
      </c>
      <c r="F710" s="3">
        <v>12.03</v>
      </c>
      <c r="G710" s="3">
        <v>79.6</v>
      </c>
      <c r="H710" s="5" t="str">
        <f t="shared" si="1"/>
        <v>January 2020</v>
      </c>
      <c r="I710" s="6">
        <f t="shared" si="2"/>
        <v>43831</v>
      </c>
    </row>
    <row r="711">
      <c r="A711" s="2">
        <v>43862.0</v>
      </c>
      <c r="B711" s="3">
        <v>2020.0</v>
      </c>
      <c r="C711" s="3">
        <v>2.0</v>
      </c>
      <c r="D711" s="3" t="s">
        <v>10</v>
      </c>
      <c r="E711" s="3">
        <v>9.9</v>
      </c>
      <c r="F711" s="3">
        <v>12.22</v>
      </c>
      <c r="G711" s="3">
        <v>81.0</v>
      </c>
      <c r="H711" s="5" t="str">
        <f t="shared" si="1"/>
        <v>February 2020</v>
      </c>
      <c r="I711" s="6">
        <f t="shared" si="2"/>
        <v>43862</v>
      </c>
    </row>
    <row r="712">
      <c r="A712" s="2">
        <v>43891.0</v>
      </c>
      <c r="B712" s="3">
        <v>2020.0</v>
      </c>
      <c r="C712" s="3">
        <v>3.0</v>
      </c>
      <c r="D712" s="3" t="s">
        <v>10</v>
      </c>
      <c r="E712" s="3">
        <v>1.65</v>
      </c>
      <c r="F712" s="3">
        <v>2.99</v>
      </c>
      <c r="G712" s="3">
        <v>55.0</v>
      </c>
      <c r="H712" s="5" t="str">
        <f t="shared" si="1"/>
        <v>March 2020</v>
      </c>
      <c r="I712" s="6">
        <f t="shared" si="2"/>
        <v>43891</v>
      </c>
    </row>
    <row r="713">
      <c r="A713" s="2">
        <v>43922.0</v>
      </c>
      <c r="B713" s="3">
        <v>2020.0</v>
      </c>
      <c r="C713" s="3">
        <v>4.0</v>
      </c>
      <c r="D713" s="3" t="s">
        <v>10</v>
      </c>
      <c r="E713" s="3">
        <v>1.61</v>
      </c>
      <c r="F713" s="3">
        <v>2.92</v>
      </c>
      <c r="G713" s="3">
        <v>55.0</v>
      </c>
      <c r="H713" s="5" t="str">
        <f t="shared" si="1"/>
        <v>April 2020</v>
      </c>
      <c r="I713" s="6">
        <f t="shared" si="2"/>
        <v>43922</v>
      </c>
    </row>
    <row r="714">
      <c r="A714" s="2">
        <v>43952.0</v>
      </c>
      <c r="B714" s="3">
        <v>2020.0</v>
      </c>
      <c r="C714" s="3">
        <v>5.0</v>
      </c>
      <c r="D714" s="3" t="s">
        <v>10</v>
      </c>
      <c r="E714" s="3">
        <v>2.04</v>
      </c>
      <c r="F714" s="3">
        <v>3.71</v>
      </c>
      <c r="G714" s="3">
        <v>55.0</v>
      </c>
      <c r="H714" s="5" t="str">
        <f t="shared" si="1"/>
        <v>May 2020</v>
      </c>
      <c r="I714" s="6">
        <f t="shared" si="2"/>
        <v>43952</v>
      </c>
    </row>
    <row r="715">
      <c r="A715" s="2">
        <v>43983.0</v>
      </c>
      <c r="B715" s="3">
        <v>2020.0</v>
      </c>
      <c r="C715" s="3">
        <v>6.0</v>
      </c>
      <c r="D715" s="3" t="s">
        <v>10</v>
      </c>
      <c r="E715" s="3">
        <v>2.26</v>
      </c>
      <c r="F715" s="3">
        <v>4.12</v>
      </c>
      <c r="G715" s="3">
        <v>55.0</v>
      </c>
      <c r="H715" s="5" t="str">
        <f t="shared" si="1"/>
        <v>June 2020</v>
      </c>
      <c r="I715" s="6">
        <f t="shared" si="2"/>
        <v>43983</v>
      </c>
    </row>
    <row r="716">
      <c r="A716" s="2">
        <v>44013.0</v>
      </c>
      <c r="B716" s="3">
        <v>2020.0</v>
      </c>
      <c r="C716" s="3">
        <v>7.0</v>
      </c>
      <c r="D716" s="3" t="s">
        <v>10</v>
      </c>
      <c r="E716" s="3">
        <v>15.97</v>
      </c>
      <c r="F716" s="3">
        <v>29.03</v>
      </c>
      <c r="G716" s="3">
        <v>55.0</v>
      </c>
      <c r="H716" s="5" t="str">
        <f t="shared" si="1"/>
        <v>July 2020</v>
      </c>
      <c r="I716" s="6">
        <f t="shared" si="2"/>
        <v>44013</v>
      </c>
    </row>
    <row r="717">
      <c r="A717" s="2">
        <v>44044.0</v>
      </c>
      <c r="B717" s="3">
        <v>2020.0</v>
      </c>
      <c r="C717" s="3">
        <v>8.0</v>
      </c>
      <c r="D717" s="3" t="s">
        <v>10</v>
      </c>
      <c r="E717" s="3">
        <v>5.76</v>
      </c>
      <c r="F717" s="3">
        <v>10.47</v>
      </c>
      <c r="G717" s="3">
        <v>55.0</v>
      </c>
      <c r="H717" s="5" t="str">
        <f t="shared" si="1"/>
        <v>August 2020</v>
      </c>
      <c r="I717" s="6">
        <f t="shared" si="2"/>
        <v>44044</v>
      </c>
    </row>
    <row r="718">
      <c r="A718" s="2">
        <v>44075.0</v>
      </c>
      <c r="B718" s="3">
        <v>2020.0</v>
      </c>
      <c r="C718" s="3">
        <v>9.0</v>
      </c>
      <c r="D718" s="3" t="s">
        <v>10</v>
      </c>
      <c r="E718" s="3">
        <v>5.69</v>
      </c>
      <c r="F718" s="3">
        <v>10.34</v>
      </c>
      <c r="G718" s="3">
        <v>55.0</v>
      </c>
      <c r="H718" s="5" t="str">
        <f t="shared" si="1"/>
        <v>September 2020</v>
      </c>
      <c r="I718" s="6">
        <f t="shared" si="2"/>
        <v>44075</v>
      </c>
    </row>
    <row r="719">
      <c r="A719" s="4">
        <v>44105.0</v>
      </c>
      <c r="B719" s="3">
        <v>2020.0</v>
      </c>
      <c r="C719" s="3">
        <v>10.0</v>
      </c>
      <c r="D719" s="3" t="s">
        <v>10</v>
      </c>
      <c r="E719" s="3">
        <v>5.85</v>
      </c>
      <c r="F719" s="3">
        <v>10.63</v>
      </c>
      <c r="G719" s="3">
        <v>55.0</v>
      </c>
      <c r="H719" s="5" t="str">
        <f t="shared" si="1"/>
        <v>October 2020</v>
      </c>
      <c r="I719" s="6">
        <f t="shared" si="2"/>
        <v>44105</v>
      </c>
    </row>
    <row r="720">
      <c r="A720" s="4">
        <v>44136.0</v>
      </c>
      <c r="B720" s="3">
        <v>2020.0</v>
      </c>
      <c r="C720" s="3">
        <v>11.0</v>
      </c>
      <c r="D720" s="3" t="s">
        <v>10</v>
      </c>
      <c r="E720" s="3">
        <v>5.5</v>
      </c>
      <c r="F720" s="3">
        <v>10.0</v>
      </c>
      <c r="G720" s="3">
        <v>55.0</v>
      </c>
      <c r="H720" s="5" t="str">
        <f t="shared" si="1"/>
        <v>November 2020</v>
      </c>
      <c r="I720" s="6">
        <f t="shared" si="2"/>
        <v>44136</v>
      </c>
    </row>
    <row r="721">
      <c r="A721" s="4">
        <v>44166.0</v>
      </c>
      <c r="B721" s="3">
        <v>2020.0</v>
      </c>
      <c r="C721" s="3">
        <v>12.0</v>
      </c>
      <c r="D721" s="3" t="s">
        <v>10</v>
      </c>
      <c r="E721" s="3">
        <v>5.15</v>
      </c>
      <c r="F721" s="3">
        <v>9.35</v>
      </c>
      <c r="G721" s="3">
        <v>55.0</v>
      </c>
      <c r="H721" s="5" t="str">
        <f t="shared" si="1"/>
        <v>December 2020</v>
      </c>
      <c r="I721" s="6">
        <f t="shared" si="2"/>
        <v>44166</v>
      </c>
    </row>
    <row r="722">
      <c r="A722" s="2">
        <v>44197.0</v>
      </c>
      <c r="B722" s="3">
        <v>2021.0</v>
      </c>
      <c r="C722" s="3">
        <v>1.0</v>
      </c>
      <c r="D722" s="3" t="s">
        <v>10</v>
      </c>
      <c r="E722" s="3">
        <v>14.74</v>
      </c>
      <c r="F722" s="3">
        <v>17.47</v>
      </c>
      <c r="G722" s="3">
        <v>84.4</v>
      </c>
      <c r="H722" s="5" t="str">
        <f t="shared" si="1"/>
        <v>January 2021</v>
      </c>
      <c r="I722" s="6">
        <f t="shared" si="2"/>
        <v>44197</v>
      </c>
    </row>
    <row r="723">
      <c r="A723" s="2">
        <v>44228.0</v>
      </c>
      <c r="B723" s="3">
        <v>2021.0</v>
      </c>
      <c r="C723" s="3">
        <v>2.0</v>
      </c>
      <c r="D723" s="3" t="s">
        <v>10</v>
      </c>
      <c r="E723" s="3">
        <v>6.7</v>
      </c>
      <c r="F723" s="3">
        <v>8.32</v>
      </c>
      <c r="G723" s="3">
        <v>80.5</v>
      </c>
      <c r="H723" s="5" t="str">
        <f t="shared" si="1"/>
        <v>February 2021</v>
      </c>
      <c r="I723" s="6">
        <f t="shared" si="2"/>
        <v>44228</v>
      </c>
    </row>
    <row r="724">
      <c r="A724" s="2">
        <v>44256.0</v>
      </c>
      <c r="B724" s="3">
        <v>2021.0</v>
      </c>
      <c r="C724" s="3">
        <v>3.0</v>
      </c>
      <c r="D724" s="3" t="s">
        <v>10</v>
      </c>
      <c r="E724" s="3">
        <v>6.28</v>
      </c>
      <c r="F724" s="3">
        <v>8.01</v>
      </c>
      <c r="G724" s="3">
        <v>78.5</v>
      </c>
      <c r="H724" s="5" t="str">
        <f t="shared" si="1"/>
        <v>March 2021</v>
      </c>
      <c r="I724" s="6">
        <f t="shared" si="2"/>
        <v>44256</v>
      </c>
    </row>
    <row r="725">
      <c r="A725" s="2">
        <v>44287.0</v>
      </c>
      <c r="B725" s="3">
        <v>2021.0</v>
      </c>
      <c r="C725" s="3">
        <v>4.0</v>
      </c>
      <c r="D725" s="3" t="s">
        <v>10</v>
      </c>
      <c r="E725" s="3">
        <v>7.76</v>
      </c>
      <c r="F725" s="3">
        <v>9.56</v>
      </c>
      <c r="G725" s="3">
        <v>81.2</v>
      </c>
      <c r="H725" s="5" t="str">
        <f t="shared" si="1"/>
        <v>April 2021</v>
      </c>
      <c r="I725" s="6">
        <f t="shared" si="2"/>
        <v>44287</v>
      </c>
    </row>
    <row r="726">
      <c r="A726" s="2">
        <v>44317.0</v>
      </c>
      <c r="B726" s="3">
        <v>2021.0</v>
      </c>
      <c r="C726" s="3">
        <v>5.0</v>
      </c>
      <c r="D726" s="3" t="s">
        <v>10</v>
      </c>
      <c r="E726" s="3">
        <v>8.07</v>
      </c>
      <c r="F726" s="3">
        <v>9.46</v>
      </c>
      <c r="G726" s="3">
        <v>85.3</v>
      </c>
      <c r="H726" s="5" t="str">
        <f t="shared" si="1"/>
        <v>May 2021</v>
      </c>
      <c r="I726" s="6">
        <f t="shared" si="2"/>
        <v>44317</v>
      </c>
    </row>
    <row r="727">
      <c r="A727" s="2">
        <v>44348.0</v>
      </c>
      <c r="B727" s="3">
        <v>2021.0</v>
      </c>
      <c r="C727" s="3">
        <v>6.0</v>
      </c>
      <c r="D727" s="3" t="s">
        <v>10</v>
      </c>
      <c r="E727" s="3">
        <v>9.44</v>
      </c>
      <c r="F727" s="3">
        <v>11.51</v>
      </c>
      <c r="G727" s="3">
        <v>82.0</v>
      </c>
      <c r="H727" s="5" t="str">
        <f t="shared" si="1"/>
        <v>June 2021</v>
      </c>
      <c r="I727" s="6">
        <f t="shared" si="2"/>
        <v>44348</v>
      </c>
    </row>
    <row r="728">
      <c r="A728" s="2">
        <v>44378.0</v>
      </c>
      <c r="B728" s="3">
        <v>2021.0</v>
      </c>
      <c r="C728" s="3">
        <v>7.0</v>
      </c>
      <c r="D728" s="3" t="s">
        <v>10</v>
      </c>
      <c r="E728" s="3">
        <v>21.56</v>
      </c>
      <c r="F728" s="3">
        <v>26.38</v>
      </c>
      <c r="G728" s="3">
        <v>81.7</v>
      </c>
      <c r="H728" s="5" t="str">
        <f t="shared" si="1"/>
        <v>July 2021</v>
      </c>
      <c r="I728" s="6">
        <f t="shared" si="2"/>
        <v>44378</v>
      </c>
    </row>
    <row r="729">
      <c r="A729" s="2">
        <v>44409.0</v>
      </c>
      <c r="B729" s="3">
        <v>2021.0</v>
      </c>
      <c r="C729" s="3">
        <v>8.0</v>
      </c>
      <c r="D729" s="3" t="s">
        <v>10</v>
      </c>
      <c r="E729" s="3">
        <v>14.83</v>
      </c>
      <c r="F729" s="3">
        <v>17.41</v>
      </c>
      <c r="G729" s="3">
        <v>85.2</v>
      </c>
      <c r="H729" s="5" t="str">
        <f t="shared" si="1"/>
        <v>August 2021</v>
      </c>
      <c r="I729" s="6">
        <f t="shared" si="2"/>
        <v>44409</v>
      </c>
    </row>
    <row r="730">
      <c r="A730" s="2">
        <v>44440.0</v>
      </c>
      <c r="B730" s="3">
        <v>2021.0</v>
      </c>
      <c r="C730" s="3">
        <v>9.0</v>
      </c>
      <c r="D730" s="3" t="s">
        <v>10</v>
      </c>
      <c r="E730" s="3">
        <v>15.0</v>
      </c>
      <c r="F730" s="3">
        <v>17.97</v>
      </c>
      <c r="G730" s="3">
        <v>83.5</v>
      </c>
      <c r="H730" s="5" t="str">
        <f t="shared" si="1"/>
        <v>September 2021</v>
      </c>
      <c r="I730" s="6">
        <f t="shared" si="2"/>
        <v>44440</v>
      </c>
    </row>
    <row r="731">
      <c r="A731" s="4">
        <v>44470.0</v>
      </c>
      <c r="B731" s="3">
        <v>2021.0</v>
      </c>
      <c r="C731" s="3">
        <v>10.0</v>
      </c>
      <c r="D731" s="3" t="s">
        <v>10</v>
      </c>
      <c r="E731" s="3">
        <v>14.93</v>
      </c>
      <c r="F731" s="3">
        <v>18.74</v>
      </c>
      <c r="G731" s="3">
        <v>79.7</v>
      </c>
      <c r="H731" s="5" t="str">
        <f t="shared" si="1"/>
        <v>October 2021</v>
      </c>
      <c r="I731" s="6">
        <f t="shared" si="2"/>
        <v>44470</v>
      </c>
    </row>
    <row r="732">
      <c r="A732" s="4">
        <v>44501.0</v>
      </c>
      <c r="B732" s="3">
        <v>2021.0</v>
      </c>
      <c r="C732" s="3">
        <v>11.0</v>
      </c>
      <c r="D732" s="3" t="s">
        <v>10</v>
      </c>
      <c r="E732" s="3">
        <v>14.02</v>
      </c>
      <c r="F732" s="3">
        <v>17.22</v>
      </c>
      <c r="G732" s="3">
        <v>81.4</v>
      </c>
      <c r="H732" s="5" t="str">
        <f t="shared" si="1"/>
        <v>November 2021</v>
      </c>
      <c r="I732" s="6">
        <f t="shared" si="2"/>
        <v>44501</v>
      </c>
    </row>
    <row r="733">
      <c r="A733" s="4">
        <v>44531.0</v>
      </c>
      <c r="B733" s="3">
        <v>2021.0</v>
      </c>
      <c r="C733" s="3">
        <v>12.0</v>
      </c>
      <c r="D733" s="3" t="s">
        <v>10</v>
      </c>
      <c r="E733" s="3">
        <v>12.01</v>
      </c>
      <c r="F733" s="3">
        <v>15.45</v>
      </c>
      <c r="G733" s="3">
        <v>77.7</v>
      </c>
      <c r="H733" s="5" t="str">
        <f t="shared" si="1"/>
        <v>December 2021</v>
      </c>
      <c r="I733" s="6">
        <f t="shared" si="2"/>
        <v>44531</v>
      </c>
    </row>
    <row r="734">
      <c r="A734" s="2">
        <v>44562.0</v>
      </c>
      <c r="B734" s="3">
        <v>2022.0</v>
      </c>
      <c r="C734" s="3">
        <v>1.0</v>
      </c>
      <c r="D734" s="3" t="s">
        <v>10</v>
      </c>
      <c r="E734" s="3">
        <v>18.57</v>
      </c>
      <c r="F734" s="3">
        <v>22.35</v>
      </c>
      <c r="G734" s="3">
        <v>83.1</v>
      </c>
      <c r="H734" s="5" t="str">
        <f t="shared" si="1"/>
        <v>January 2022</v>
      </c>
      <c r="I734" s="6">
        <f t="shared" si="2"/>
        <v>44562</v>
      </c>
    </row>
    <row r="735">
      <c r="A735" s="2">
        <v>44593.0</v>
      </c>
      <c r="B735" s="3">
        <v>2022.0</v>
      </c>
      <c r="C735" s="3">
        <v>2.0</v>
      </c>
      <c r="D735" s="3" t="s">
        <v>10</v>
      </c>
      <c r="E735" s="3">
        <v>19.12</v>
      </c>
      <c r="F735" s="3">
        <v>23.21</v>
      </c>
      <c r="G735" s="3">
        <v>82.4</v>
      </c>
      <c r="H735" s="5" t="str">
        <f t="shared" si="1"/>
        <v>February 2022</v>
      </c>
      <c r="I735" s="6">
        <f t="shared" si="2"/>
        <v>44593</v>
      </c>
    </row>
    <row r="736">
      <c r="A736" s="2">
        <v>44621.0</v>
      </c>
      <c r="B736" s="3">
        <v>2022.0</v>
      </c>
      <c r="C736" s="3">
        <v>3.0</v>
      </c>
      <c r="D736" s="3" t="s">
        <v>10</v>
      </c>
      <c r="E736" s="3">
        <v>21.06</v>
      </c>
      <c r="F736" s="3">
        <v>26.51</v>
      </c>
      <c r="G736" s="3">
        <v>79.5</v>
      </c>
      <c r="H736" s="5" t="str">
        <f t="shared" si="1"/>
        <v>March 2022</v>
      </c>
      <c r="I736" s="6">
        <f t="shared" si="2"/>
        <v>44621</v>
      </c>
    </row>
    <row r="737">
      <c r="A737" s="2">
        <v>44652.0</v>
      </c>
      <c r="B737" s="3">
        <v>2022.0</v>
      </c>
      <c r="C737" s="3">
        <v>4.0</v>
      </c>
      <c r="D737" s="3" t="s">
        <v>10</v>
      </c>
      <c r="E737" s="3">
        <v>21.49</v>
      </c>
      <c r="F737" s="3">
        <v>26.01</v>
      </c>
      <c r="G737" s="3">
        <v>82.6</v>
      </c>
      <c r="H737" s="5" t="str">
        <f t="shared" si="1"/>
        <v>April 2022</v>
      </c>
      <c r="I737" s="6">
        <f t="shared" si="2"/>
        <v>44652</v>
      </c>
    </row>
    <row r="738">
      <c r="A738" s="2">
        <v>44682.0</v>
      </c>
      <c r="B738" s="3">
        <v>2022.0</v>
      </c>
      <c r="C738" s="3">
        <v>5.0</v>
      </c>
      <c r="D738" s="3" t="s">
        <v>10</v>
      </c>
      <c r="E738" s="3">
        <v>23.15</v>
      </c>
      <c r="F738" s="3">
        <v>28.21</v>
      </c>
      <c r="G738" s="3">
        <v>82.1</v>
      </c>
      <c r="H738" s="5" t="str">
        <f t="shared" si="1"/>
        <v>May 2022</v>
      </c>
      <c r="I738" s="6">
        <f t="shared" si="2"/>
        <v>44682</v>
      </c>
    </row>
    <row r="739">
      <c r="A739" s="2">
        <v>44713.0</v>
      </c>
      <c r="B739" s="3">
        <v>2022.0</v>
      </c>
      <c r="C739" s="3">
        <v>6.0</v>
      </c>
      <c r="D739" s="3" t="s">
        <v>10</v>
      </c>
      <c r="E739" s="3">
        <v>24.68</v>
      </c>
      <c r="F739" s="3">
        <v>29.09</v>
      </c>
      <c r="G739" s="3">
        <v>84.8</v>
      </c>
      <c r="H739" s="5" t="str">
        <f t="shared" si="1"/>
        <v>June 2022</v>
      </c>
      <c r="I739" s="6">
        <f t="shared" si="2"/>
        <v>44713</v>
      </c>
    </row>
    <row r="740">
      <c r="A740" s="2">
        <v>44743.0</v>
      </c>
      <c r="B740" s="3">
        <v>2022.0</v>
      </c>
      <c r="C740" s="3">
        <v>7.0</v>
      </c>
      <c r="D740" s="3" t="s">
        <v>10</v>
      </c>
      <c r="E740" s="3">
        <v>27.12</v>
      </c>
      <c r="F740" s="3">
        <v>31.51</v>
      </c>
      <c r="G740" s="3">
        <v>86.1</v>
      </c>
      <c r="H740" s="5" t="str">
        <f t="shared" si="1"/>
        <v>July 2022</v>
      </c>
      <c r="I740" s="6">
        <f t="shared" si="2"/>
        <v>44743</v>
      </c>
    </row>
    <row r="741">
      <c r="A741" s="2">
        <v>44774.0</v>
      </c>
      <c r="B741" s="3">
        <v>2022.0</v>
      </c>
      <c r="C741" s="3">
        <v>8.0</v>
      </c>
      <c r="D741" s="3" t="s">
        <v>10</v>
      </c>
      <c r="E741" s="3">
        <v>28.63</v>
      </c>
      <c r="F741" s="3">
        <v>34.06</v>
      </c>
      <c r="G741" s="3">
        <v>84.1</v>
      </c>
      <c r="H741" s="5" t="str">
        <f t="shared" si="1"/>
        <v>August 2022</v>
      </c>
      <c r="I741" s="6">
        <f t="shared" si="2"/>
        <v>44774</v>
      </c>
    </row>
    <row r="742">
      <c r="A742" s="2">
        <v>44805.0</v>
      </c>
      <c r="B742" s="3">
        <v>2022.0</v>
      </c>
      <c r="C742" s="3">
        <v>9.0</v>
      </c>
      <c r="D742" s="3" t="s">
        <v>10</v>
      </c>
      <c r="E742" s="3">
        <v>28.58</v>
      </c>
      <c r="F742" s="3">
        <v>34.88</v>
      </c>
      <c r="G742" s="3">
        <v>81.9</v>
      </c>
      <c r="H742" s="5" t="str">
        <f t="shared" si="1"/>
        <v>September 2022</v>
      </c>
      <c r="I742" s="6">
        <f t="shared" si="2"/>
        <v>44805</v>
      </c>
    </row>
    <row r="743">
      <c r="A743" s="4">
        <v>44835.0</v>
      </c>
      <c r="B743" s="3">
        <v>2022.0</v>
      </c>
      <c r="C743" s="3">
        <v>10.0</v>
      </c>
      <c r="D743" s="3" t="s">
        <v>10</v>
      </c>
      <c r="E743" s="3">
        <v>27.2</v>
      </c>
      <c r="F743" s="3">
        <v>33.08</v>
      </c>
      <c r="G743" s="3">
        <v>82.2</v>
      </c>
      <c r="H743" s="5" t="str">
        <f t="shared" si="1"/>
        <v>October 2022</v>
      </c>
      <c r="I743" s="6">
        <f t="shared" si="2"/>
        <v>44835</v>
      </c>
    </row>
    <row r="744">
      <c r="A744" s="4">
        <v>44866.0</v>
      </c>
      <c r="B744" s="3">
        <v>2022.0</v>
      </c>
      <c r="C744" s="3">
        <v>11.0</v>
      </c>
      <c r="D744" s="3" t="s">
        <v>10</v>
      </c>
      <c r="E744" s="3">
        <v>26.42</v>
      </c>
      <c r="F744" s="3">
        <v>32.84</v>
      </c>
      <c r="G744" s="3">
        <v>80.4</v>
      </c>
      <c r="H744" s="5" t="str">
        <f t="shared" si="1"/>
        <v>November 2022</v>
      </c>
      <c r="I744" s="6">
        <f t="shared" si="2"/>
        <v>44866</v>
      </c>
    </row>
    <row r="745">
      <c r="A745" s="4">
        <v>44896.0</v>
      </c>
      <c r="B745" s="3">
        <v>2022.0</v>
      </c>
      <c r="C745" s="3">
        <v>12.0</v>
      </c>
      <c r="D745" s="3" t="s">
        <v>10</v>
      </c>
      <c r="E745" s="3">
        <v>24.5</v>
      </c>
      <c r="F745" s="3">
        <v>30.33</v>
      </c>
      <c r="G745" s="3">
        <v>80.8</v>
      </c>
      <c r="H745" s="5" t="str">
        <f t="shared" si="1"/>
        <v>December 2022</v>
      </c>
      <c r="I745" s="6">
        <f t="shared" si="2"/>
        <v>44896</v>
      </c>
    </row>
    <row r="746">
      <c r="A746" s="2">
        <v>44927.0</v>
      </c>
      <c r="B746" s="3">
        <v>2023.0</v>
      </c>
      <c r="C746" s="3">
        <v>1.0</v>
      </c>
      <c r="D746" s="3" t="s">
        <v>10</v>
      </c>
      <c r="E746" s="3">
        <v>25.17</v>
      </c>
      <c r="F746" s="3">
        <v>30.76</v>
      </c>
      <c r="G746" s="3">
        <v>81.8</v>
      </c>
      <c r="H746" s="5" t="str">
        <f t="shared" si="1"/>
        <v>January 2023</v>
      </c>
      <c r="I746" s="6">
        <f t="shared" si="2"/>
        <v>44927</v>
      </c>
    </row>
    <row r="747">
      <c r="A747" s="2">
        <v>44958.0</v>
      </c>
      <c r="B747" s="3">
        <v>2023.0</v>
      </c>
      <c r="C747" s="3">
        <v>2.0</v>
      </c>
      <c r="D747" s="3" t="s">
        <v>10</v>
      </c>
      <c r="E747" s="3">
        <v>24.41</v>
      </c>
      <c r="F747" s="3">
        <v>29.91</v>
      </c>
      <c r="G747" s="3">
        <v>81.6</v>
      </c>
      <c r="H747" s="5" t="str">
        <f t="shared" si="1"/>
        <v>February 2023</v>
      </c>
      <c r="I747" s="6">
        <f t="shared" si="2"/>
        <v>44958</v>
      </c>
    </row>
    <row r="748">
      <c r="A748" s="2">
        <v>44986.0</v>
      </c>
      <c r="B748" s="3">
        <v>2023.0</v>
      </c>
      <c r="C748" s="3">
        <v>3.0</v>
      </c>
      <c r="D748" s="3" t="s">
        <v>10</v>
      </c>
      <c r="E748" s="3">
        <v>24.41</v>
      </c>
      <c r="F748" s="3">
        <v>30.76</v>
      </c>
      <c r="G748" s="3">
        <v>79.4</v>
      </c>
      <c r="H748" s="5" t="str">
        <f t="shared" si="1"/>
        <v>March 2023</v>
      </c>
      <c r="I748" s="6">
        <f t="shared" si="2"/>
        <v>44986</v>
      </c>
    </row>
    <row r="749">
      <c r="A749" s="2">
        <v>45017.0</v>
      </c>
      <c r="B749" s="3">
        <v>2023.0</v>
      </c>
      <c r="C749" s="3">
        <v>4.0</v>
      </c>
      <c r="D749" s="3" t="s">
        <v>10</v>
      </c>
      <c r="E749" s="3">
        <v>25.78</v>
      </c>
      <c r="F749" s="3">
        <v>31.28</v>
      </c>
      <c r="G749" s="3">
        <v>82.4</v>
      </c>
      <c r="H749" s="5" t="str">
        <f t="shared" si="1"/>
        <v>April 2023</v>
      </c>
      <c r="I749" s="6">
        <f t="shared" si="2"/>
        <v>45017</v>
      </c>
    </row>
    <row r="750">
      <c r="A750" s="2">
        <v>45047.0</v>
      </c>
      <c r="B750" s="3">
        <v>2023.0</v>
      </c>
      <c r="C750" s="3">
        <v>5.0</v>
      </c>
      <c r="D750" s="3" t="s">
        <v>10</v>
      </c>
      <c r="E750" s="3">
        <v>30.06</v>
      </c>
      <c r="F750" s="3">
        <v>36.47</v>
      </c>
      <c r="G750" s="3">
        <v>82.4</v>
      </c>
      <c r="H750" s="5" t="str">
        <f t="shared" si="1"/>
        <v>May 2023</v>
      </c>
      <c r="I750" s="6">
        <f t="shared" si="2"/>
        <v>45047</v>
      </c>
    </row>
    <row r="751">
      <c r="A751" s="2">
        <v>45078.0</v>
      </c>
      <c r="B751" s="3">
        <v>2023.0</v>
      </c>
      <c r="C751" s="3">
        <v>6.0</v>
      </c>
      <c r="D751" s="3" t="s">
        <v>10</v>
      </c>
      <c r="E751" s="3">
        <v>32.59</v>
      </c>
      <c r="F751" s="3">
        <v>39.13</v>
      </c>
      <c r="G751" s="3">
        <v>83.3</v>
      </c>
      <c r="H751" s="5" t="str">
        <f t="shared" si="1"/>
        <v>June 2023</v>
      </c>
      <c r="I751" s="6">
        <f t="shared" si="2"/>
        <v>45078</v>
      </c>
    </row>
    <row r="752">
      <c r="A752" s="2">
        <v>45108.0</v>
      </c>
      <c r="B752" s="3">
        <v>2023.0</v>
      </c>
      <c r="C752" s="3">
        <v>7.0</v>
      </c>
      <c r="D752" s="3" t="s">
        <v>10</v>
      </c>
      <c r="E752" s="3">
        <v>35.0</v>
      </c>
      <c r="F752" s="3">
        <v>42.74</v>
      </c>
      <c r="G752" s="3">
        <v>81.9</v>
      </c>
      <c r="H752" s="5" t="str">
        <f t="shared" si="1"/>
        <v>July 2023</v>
      </c>
      <c r="I752" s="6">
        <f t="shared" si="2"/>
        <v>45108</v>
      </c>
    </row>
    <row r="753">
      <c r="A753" s="2">
        <v>45139.0</v>
      </c>
      <c r="B753" s="3">
        <v>2023.0</v>
      </c>
      <c r="C753" s="3">
        <v>8.0</v>
      </c>
      <c r="D753" s="3" t="s">
        <v>10</v>
      </c>
      <c r="E753" s="3">
        <v>36.96</v>
      </c>
      <c r="F753" s="3">
        <v>45.62</v>
      </c>
      <c r="G753" s="3">
        <v>81.0</v>
      </c>
      <c r="H753" s="5" t="str">
        <f t="shared" si="1"/>
        <v>August 2023</v>
      </c>
      <c r="I753" s="6">
        <f t="shared" si="2"/>
        <v>45139</v>
      </c>
    </row>
    <row r="754">
      <c r="A754" s="2">
        <v>45170.0</v>
      </c>
      <c r="B754" s="3">
        <v>2023.0</v>
      </c>
      <c r="C754" s="3">
        <v>9.0</v>
      </c>
      <c r="D754" s="3" t="s">
        <v>10</v>
      </c>
      <c r="E754" s="3">
        <v>33.49</v>
      </c>
      <c r="F754" s="3">
        <v>42.09</v>
      </c>
      <c r="G754" s="3">
        <v>79.6</v>
      </c>
      <c r="H754" s="5" t="str">
        <f t="shared" si="1"/>
        <v>September 2023</v>
      </c>
      <c r="I754" s="6">
        <f t="shared" si="2"/>
        <v>45170</v>
      </c>
    </row>
    <row r="755">
      <c r="A755" s="4">
        <v>45200.0</v>
      </c>
      <c r="B755" s="3">
        <v>2023.0</v>
      </c>
      <c r="C755" s="3">
        <v>10.0</v>
      </c>
      <c r="D755" s="3" t="s">
        <v>10</v>
      </c>
      <c r="E755" s="3">
        <v>35.45</v>
      </c>
      <c r="F755" s="3">
        <v>42.39</v>
      </c>
      <c r="G755" s="3">
        <v>83.6</v>
      </c>
      <c r="H755" s="5" t="str">
        <f t="shared" si="1"/>
        <v>October 2023</v>
      </c>
      <c r="I755" s="6">
        <f t="shared" si="2"/>
        <v>45200</v>
      </c>
    </row>
    <row r="756">
      <c r="A756" s="4">
        <v>45231.0</v>
      </c>
      <c r="B756" s="3">
        <v>2023.0</v>
      </c>
      <c r="C756" s="3">
        <v>11.0</v>
      </c>
      <c r="D756" s="3" t="s">
        <v>10</v>
      </c>
      <c r="E756" s="3">
        <v>30.86</v>
      </c>
      <c r="F756" s="3">
        <v>36.52</v>
      </c>
      <c r="G756" s="3">
        <v>84.5</v>
      </c>
      <c r="H756" s="5" t="str">
        <f t="shared" si="1"/>
        <v>November 2023</v>
      </c>
      <c r="I756" s="6">
        <f t="shared" si="2"/>
        <v>45231</v>
      </c>
    </row>
    <row r="757">
      <c r="A757" s="4">
        <v>45261.0</v>
      </c>
      <c r="B757" s="3">
        <v>2023.0</v>
      </c>
      <c r="C757" s="3">
        <v>12.0</v>
      </c>
      <c r="D757" s="3" t="s">
        <v>10</v>
      </c>
      <c r="E757" s="3">
        <v>29.82</v>
      </c>
      <c r="F757" s="3">
        <v>34.71</v>
      </c>
      <c r="G757" s="3">
        <v>85.9</v>
      </c>
      <c r="H757" s="5" t="str">
        <f t="shared" si="1"/>
        <v>December 2023</v>
      </c>
      <c r="I757" s="6">
        <f t="shared" si="2"/>
        <v>45261</v>
      </c>
    </row>
    <row r="758">
      <c r="A758" s="2">
        <v>45292.0</v>
      </c>
      <c r="B758" s="3">
        <v>2024.0</v>
      </c>
      <c r="C758" s="3">
        <v>1.0</v>
      </c>
      <c r="D758" s="3" t="s">
        <v>10</v>
      </c>
      <c r="E758" s="3">
        <v>26.58</v>
      </c>
      <c r="F758" s="3">
        <v>32.63</v>
      </c>
      <c r="G758" s="3">
        <v>81.5</v>
      </c>
      <c r="H758" s="5" t="str">
        <f t="shared" si="1"/>
        <v>January 2024</v>
      </c>
      <c r="I758" s="6">
        <f t="shared" si="2"/>
        <v>45292</v>
      </c>
    </row>
    <row r="759">
      <c r="A759" s="2">
        <v>45323.0</v>
      </c>
      <c r="B759" s="3">
        <v>2024.0</v>
      </c>
      <c r="C759" s="3">
        <v>2.0</v>
      </c>
      <c r="D759" s="3" t="s">
        <v>10</v>
      </c>
      <c r="E759" s="3">
        <v>27.03</v>
      </c>
      <c r="F759" s="3">
        <v>34.64</v>
      </c>
      <c r="G759" s="3">
        <v>78.1</v>
      </c>
      <c r="H759" s="5" t="str">
        <f t="shared" si="1"/>
        <v>February 2024</v>
      </c>
      <c r="I759" s="6">
        <f t="shared" si="2"/>
        <v>45323</v>
      </c>
    </row>
    <row r="760">
      <c r="A760" s="2">
        <v>45352.0</v>
      </c>
      <c r="B760" s="3">
        <v>2024.0</v>
      </c>
      <c r="C760" s="3">
        <v>3.0</v>
      </c>
      <c r="D760" s="3" t="s">
        <v>10</v>
      </c>
      <c r="E760" s="3">
        <v>29.19</v>
      </c>
      <c r="F760" s="3">
        <v>35.84</v>
      </c>
      <c r="G760" s="3">
        <v>81.5</v>
      </c>
      <c r="H760" s="5" t="str">
        <f t="shared" si="1"/>
        <v>March 2024</v>
      </c>
      <c r="I760" s="6">
        <f t="shared" si="2"/>
        <v>45352</v>
      </c>
    </row>
    <row r="761">
      <c r="A761" s="2">
        <v>45383.0</v>
      </c>
      <c r="B761" s="3">
        <v>2024.0</v>
      </c>
      <c r="C761" s="3">
        <v>4.0</v>
      </c>
      <c r="D761" s="3" t="s">
        <v>10</v>
      </c>
      <c r="E761" s="3">
        <v>30.97</v>
      </c>
      <c r="F761" s="3">
        <v>35.72</v>
      </c>
      <c r="G761" s="3">
        <v>86.7</v>
      </c>
      <c r="H761" s="5" t="str">
        <f t="shared" si="1"/>
        <v>April 2024</v>
      </c>
      <c r="I761" s="6">
        <f t="shared" si="2"/>
        <v>45383</v>
      </c>
    </row>
    <row r="762">
      <c r="A762" s="2">
        <v>45413.0</v>
      </c>
      <c r="B762" s="3">
        <v>2024.0</v>
      </c>
      <c r="C762" s="3">
        <v>5.0</v>
      </c>
      <c r="D762" s="3" t="s">
        <v>10</v>
      </c>
      <c r="E762" s="3">
        <v>32.65</v>
      </c>
      <c r="F762" s="3">
        <v>40.23</v>
      </c>
      <c r="G762" s="3">
        <v>81.2</v>
      </c>
      <c r="H762" s="5" t="str">
        <f t="shared" si="1"/>
        <v>May 2024</v>
      </c>
      <c r="I762" s="6">
        <f t="shared" si="2"/>
        <v>45413</v>
      </c>
    </row>
    <row r="763">
      <c r="A763" s="2">
        <v>45444.0</v>
      </c>
      <c r="B763" s="3">
        <v>2024.0</v>
      </c>
      <c r="C763" s="3">
        <v>6.0</v>
      </c>
      <c r="D763" s="3" t="s">
        <v>10</v>
      </c>
      <c r="E763" s="3">
        <v>35.87</v>
      </c>
      <c r="F763" s="3">
        <v>42.72</v>
      </c>
      <c r="G763" s="3">
        <v>84.0</v>
      </c>
      <c r="H763" s="5" t="str">
        <f t="shared" si="1"/>
        <v>June 2024</v>
      </c>
      <c r="I763" s="6">
        <f t="shared" si="2"/>
        <v>45444</v>
      </c>
    </row>
    <row r="764">
      <c r="A764" s="2">
        <v>45474.0</v>
      </c>
      <c r="B764" s="3">
        <v>2024.0</v>
      </c>
      <c r="C764" s="3">
        <v>7.0</v>
      </c>
      <c r="D764" s="3" t="s">
        <v>10</v>
      </c>
      <c r="E764" s="3">
        <v>37.21</v>
      </c>
      <c r="F764" s="3">
        <v>46.09</v>
      </c>
      <c r="G764" s="3">
        <v>80.7</v>
      </c>
      <c r="H764" s="5" t="str">
        <f t="shared" si="1"/>
        <v>July 2024</v>
      </c>
      <c r="I764" s="6">
        <f t="shared" si="2"/>
        <v>45474</v>
      </c>
    </row>
    <row r="765">
      <c r="A765" s="2">
        <v>45505.0</v>
      </c>
      <c r="B765" s="3">
        <v>2024.0</v>
      </c>
      <c r="C765" s="3">
        <v>8.0</v>
      </c>
      <c r="D765" s="3" t="s">
        <v>10</v>
      </c>
      <c r="E765" s="3">
        <v>40.06</v>
      </c>
      <c r="F765" s="3">
        <v>48.41</v>
      </c>
      <c r="G765" s="3">
        <v>82.8</v>
      </c>
      <c r="H765" s="5" t="str">
        <f t="shared" si="1"/>
        <v>August 2024</v>
      </c>
      <c r="I765" s="6">
        <f t="shared" si="2"/>
        <v>45505</v>
      </c>
    </row>
    <row r="766">
      <c r="A766" s="2">
        <v>45536.0</v>
      </c>
      <c r="B766" s="3">
        <v>2024.0</v>
      </c>
      <c r="C766" s="3">
        <v>9.0</v>
      </c>
      <c r="D766" s="3" t="s">
        <v>10</v>
      </c>
      <c r="E766" s="3">
        <v>36.13</v>
      </c>
      <c r="F766" s="3">
        <v>45.42</v>
      </c>
      <c r="G766" s="3">
        <v>79.5</v>
      </c>
      <c r="H766" s="5" t="str">
        <f t="shared" si="1"/>
        <v>September 2024</v>
      </c>
      <c r="I766" s="6">
        <f t="shared" si="2"/>
        <v>45536</v>
      </c>
    </row>
    <row r="767">
      <c r="A767" s="4">
        <v>45566.0</v>
      </c>
      <c r="B767" s="3">
        <v>2024.0</v>
      </c>
      <c r="C767" s="3">
        <v>10.0</v>
      </c>
      <c r="D767" s="3" t="s">
        <v>10</v>
      </c>
      <c r="E767" s="3">
        <v>38.51</v>
      </c>
      <c r="F767" s="3">
        <v>46.51</v>
      </c>
      <c r="G767" s="3">
        <v>82.8</v>
      </c>
      <c r="H767" s="5" t="str">
        <f t="shared" si="1"/>
        <v>October 2024</v>
      </c>
      <c r="I767" s="6">
        <f t="shared" si="2"/>
        <v>45566</v>
      </c>
    </row>
    <row r="768">
      <c r="A768" s="4">
        <v>45597.0</v>
      </c>
      <c r="B768" s="3">
        <v>2024.0</v>
      </c>
      <c r="C768" s="3">
        <v>11.0</v>
      </c>
      <c r="D768" s="3" t="s">
        <v>10</v>
      </c>
      <c r="E768" s="3">
        <v>33.72</v>
      </c>
      <c r="F768" s="3">
        <v>41.29</v>
      </c>
      <c r="G768" s="3">
        <v>81.7</v>
      </c>
      <c r="H768" s="5" t="str">
        <f t="shared" si="1"/>
        <v>November 2024</v>
      </c>
      <c r="I768" s="6">
        <f t="shared" si="2"/>
        <v>45597</v>
      </c>
    </row>
    <row r="769">
      <c r="A769" s="4">
        <v>45627.0</v>
      </c>
      <c r="B769" s="3">
        <v>2024.0</v>
      </c>
      <c r="C769" s="3">
        <v>12.0</v>
      </c>
      <c r="D769" s="3" t="s">
        <v>10</v>
      </c>
      <c r="E769" s="3">
        <v>32.16</v>
      </c>
      <c r="F769" s="3">
        <v>38.52</v>
      </c>
      <c r="G769" s="3">
        <v>83.5</v>
      </c>
      <c r="H769" s="5" t="str">
        <f t="shared" si="1"/>
        <v>December 2024</v>
      </c>
      <c r="I769" s="6">
        <f t="shared" si="2"/>
        <v>45627</v>
      </c>
    </row>
    <row r="770">
      <c r="A770" s="2">
        <v>45658.0</v>
      </c>
      <c r="B770" s="3">
        <v>2025.0</v>
      </c>
      <c r="C770" s="3">
        <v>1.0</v>
      </c>
      <c r="D770" s="3" t="s">
        <v>10</v>
      </c>
      <c r="E770" s="3">
        <v>29.24</v>
      </c>
      <c r="F770" s="3">
        <v>36.4</v>
      </c>
      <c r="G770" s="3">
        <v>80.3</v>
      </c>
      <c r="H770" s="5" t="str">
        <f t="shared" si="1"/>
        <v>January 2025</v>
      </c>
      <c r="I770" s="6">
        <f t="shared" si="2"/>
        <v>45658</v>
      </c>
    </row>
    <row r="771">
      <c r="A771" s="2">
        <v>45689.0</v>
      </c>
      <c r="B771" s="3">
        <v>2025.0</v>
      </c>
      <c r="C771" s="3">
        <v>2.0</v>
      </c>
      <c r="D771" s="3" t="s">
        <v>10</v>
      </c>
      <c r="E771" s="3">
        <v>30.21</v>
      </c>
      <c r="F771" s="3">
        <v>36.93</v>
      </c>
      <c r="G771" s="3">
        <v>81.8</v>
      </c>
      <c r="H771" s="5" t="str">
        <f t="shared" si="1"/>
        <v>February 2025</v>
      </c>
      <c r="I771" s="6">
        <f t="shared" si="2"/>
        <v>45689</v>
      </c>
    </row>
    <row r="772">
      <c r="A772" s="2">
        <v>45717.0</v>
      </c>
      <c r="B772" s="3">
        <v>2025.0</v>
      </c>
      <c r="C772" s="3">
        <v>3.0</v>
      </c>
      <c r="D772" s="3" t="s">
        <v>10</v>
      </c>
      <c r="E772" s="3">
        <v>31.42</v>
      </c>
      <c r="F772" s="3">
        <v>39.51</v>
      </c>
      <c r="G772" s="3">
        <v>79.5</v>
      </c>
      <c r="H772" s="5" t="str">
        <f t="shared" si="1"/>
        <v>March 2025</v>
      </c>
      <c r="I772" s="6">
        <f t="shared" si="2"/>
        <v>45717</v>
      </c>
    </row>
    <row r="773">
      <c r="A773" s="2">
        <v>45748.0</v>
      </c>
      <c r="B773" s="3">
        <v>2025.0</v>
      </c>
      <c r="C773" s="3">
        <v>4.0</v>
      </c>
      <c r="D773" s="3" t="s">
        <v>10</v>
      </c>
      <c r="E773" s="3">
        <v>33.42</v>
      </c>
      <c r="F773" s="3">
        <v>39.71</v>
      </c>
      <c r="G773" s="3">
        <v>84.2</v>
      </c>
      <c r="H773" s="5" t="str">
        <f t="shared" si="1"/>
        <v>April 2025</v>
      </c>
      <c r="I773" s="6">
        <f t="shared" si="2"/>
        <v>45748</v>
      </c>
    </row>
    <row r="774">
      <c r="A774" s="2">
        <v>45778.0</v>
      </c>
      <c r="B774" s="3">
        <v>2025.0</v>
      </c>
      <c r="C774" s="3">
        <v>5.0</v>
      </c>
      <c r="D774" s="3" t="s">
        <v>10</v>
      </c>
      <c r="E774" s="3">
        <v>36.53</v>
      </c>
      <c r="F774" s="3">
        <v>44.4</v>
      </c>
      <c r="G774" s="3">
        <v>82.3</v>
      </c>
      <c r="H774" s="5" t="str">
        <f t="shared" si="1"/>
        <v>May 2025</v>
      </c>
      <c r="I774" s="6">
        <f t="shared" si="2"/>
        <v>45778</v>
      </c>
    </row>
    <row r="775">
      <c r="A775" s="2">
        <v>45809.0</v>
      </c>
      <c r="B775" s="3">
        <v>2025.0</v>
      </c>
      <c r="C775" s="3">
        <v>6.0</v>
      </c>
      <c r="D775" s="3" t="s">
        <v>10</v>
      </c>
      <c r="E775" s="3">
        <v>38.86</v>
      </c>
      <c r="F775" s="3">
        <v>48.37</v>
      </c>
      <c r="G775" s="3">
        <v>80.3</v>
      </c>
      <c r="H775" s="5" t="str">
        <f t="shared" si="1"/>
        <v>June 2025</v>
      </c>
      <c r="I775" s="6">
        <f t="shared" si="2"/>
        <v>45809</v>
      </c>
    </row>
    <row r="776">
      <c r="A776" s="2">
        <v>45839.0</v>
      </c>
      <c r="B776" s="3">
        <v>2025.0</v>
      </c>
      <c r="C776" s="3">
        <v>7.0</v>
      </c>
      <c r="D776" s="3" t="s">
        <v>10</v>
      </c>
      <c r="E776" s="3">
        <v>41.15</v>
      </c>
      <c r="F776" s="3">
        <v>48.69</v>
      </c>
      <c r="G776" s="3">
        <v>84.5</v>
      </c>
      <c r="H776" s="5" t="str">
        <f t="shared" si="1"/>
        <v>July 2025</v>
      </c>
      <c r="I776" s="6">
        <f t="shared" si="2"/>
        <v>45839</v>
      </c>
    </row>
    <row r="777">
      <c r="A777" s="2">
        <v>45870.0</v>
      </c>
      <c r="B777" s="3">
        <v>2025.0</v>
      </c>
      <c r="C777" s="3">
        <v>8.0</v>
      </c>
      <c r="D777" s="3" t="s">
        <v>10</v>
      </c>
      <c r="E777" s="3">
        <v>42.11</v>
      </c>
      <c r="F777" s="3">
        <v>52.5</v>
      </c>
      <c r="G777" s="3">
        <v>80.2</v>
      </c>
      <c r="H777" s="5" t="str">
        <f t="shared" si="1"/>
        <v>August 2025</v>
      </c>
      <c r="I777" s="6">
        <f t="shared" si="2"/>
        <v>45870</v>
      </c>
    </row>
    <row r="778">
      <c r="A778" s="2">
        <v>45901.0</v>
      </c>
      <c r="B778" s="3">
        <v>2025.0</v>
      </c>
      <c r="C778" s="3">
        <v>9.0</v>
      </c>
      <c r="D778" s="3" t="s">
        <v>10</v>
      </c>
      <c r="E778" s="3">
        <v>41.19</v>
      </c>
      <c r="F778" s="3">
        <v>49.99</v>
      </c>
      <c r="G778" s="3">
        <v>82.4</v>
      </c>
      <c r="H778" s="5" t="str">
        <f t="shared" si="1"/>
        <v>September 2025</v>
      </c>
      <c r="I778" s="6">
        <f t="shared" si="2"/>
        <v>45901</v>
      </c>
    </row>
    <row r="779">
      <c r="A779" s="4">
        <v>45931.0</v>
      </c>
      <c r="B779" s="3">
        <v>2025.0</v>
      </c>
      <c r="C779" s="3">
        <v>10.0</v>
      </c>
      <c r="D779" s="3" t="s">
        <v>10</v>
      </c>
      <c r="E779" s="3">
        <v>39.6</v>
      </c>
      <c r="F779" s="3">
        <v>47.72</v>
      </c>
      <c r="G779" s="3">
        <v>83.0</v>
      </c>
      <c r="H779" s="5" t="str">
        <f t="shared" si="1"/>
        <v>October 2025</v>
      </c>
      <c r="I779" s="6">
        <f t="shared" si="2"/>
        <v>45931</v>
      </c>
    </row>
    <row r="780">
      <c r="A780" s="4">
        <v>45962.0</v>
      </c>
      <c r="B780" s="3">
        <v>2025.0</v>
      </c>
      <c r="C780" s="3">
        <v>11.0</v>
      </c>
      <c r="D780" s="3" t="s">
        <v>10</v>
      </c>
      <c r="E780" s="3">
        <v>38.09</v>
      </c>
      <c r="F780" s="3">
        <v>45.47</v>
      </c>
      <c r="G780" s="3">
        <v>83.8</v>
      </c>
      <c r="H780" s="5" t="str">
        <f t="shared" si="1"/>
        <v>November 2025</v>
      </c>
      <c r="I780" s="6">
        <f t="shared" si="2"/>
        <v>45962</v>
      </c>
    </row>
    <row r="781">
      <c r="A781" s="4">
        <v>45992.0</v>
      </c>
      <c r="B781" s="3">
        <v>2025.0</v>
      </c>
      <c r="C781" s="3">
        <v>12.0</v>
      </c>
      <c r="D781" s="3" t="s">
        <v>10</v>
      </c>
      <c r="E781" s="3">
        <v>36.44</v>
      </c>
      <c r="F781" s="3">
        <v>43.39</v>
      </c>
      <c r="G781" s="3">
        <v>84.0</v>
      </c>
      <c r="H781" s="5" t="str">
        <f t="shared" si="1"/>
        <v>December 2025</v>
      </c>
      <c r="I781" s="6">
        <f t="shared" si="2"/>
        <v>45992</v>
      </c>
    </row>
    <row r="782">
      <c r="A782" s="2">
        <v>46023.0</v>
      </c>
      <c r="B782" s="3">
        <v>2026.0</v>
      </c>
      <c r="C782" s="3">
        <v>1.0</v>
      </c>
      <c r="D782" s="3" t="s">
        <v>10</v>
      </c>
      <c r="E782" s="3">
        <v>32.15</v>
      </c>
      <c r="F782" s="3">
        <v>40.09</v>
      </c>
      <c r="G782" s="3">
        <v>80.2</v>
      </c>
      <c r="H782" s="5" t="str">
        <f t="shared" si="1"/>
        <v>January 2026</v>
      </c>
      <c r="I782" s="6">
        <f t="shared" si="2"/>
        <v>46023</v>
      </c>
    </row>
    <row r="783">
      <c r="A783" s="2">
        <v>46054.0</v>
      </c>
      <c r="B783" s="3">
        <v>2026.0</v>
      </c>
      <c r="C783" s="3">
        <v>2.0</v>
      </c>
      <c r="D783" s="3" t="s">
        <v>10</v>
      </c>
      <c r="E783" s="3">
        <v>32.23</v>
      </c>
      <c r="F783" s="3">
        <v>39.74</v>
      </c>
      <c r="G783" s="3">
        <v>81.1</v>
      </c>
      <c r="H783" s="5" t="str">
        <f t="shared" si="1"/>
        <v>February 2026</v>
      </c>
      <c r="I783" s="6">
        <f t="shared" si="2"/>
        <v>46054</v>
      </c>
    </row>
    <row r="784">
      <c r="A784" s="2">
        <v>46082.0</v>
      </c>
      <c r="B784" s="3">
        <v>2026.0</v>
      </c>
      <c r="C784" s="3">
        <v>3.0</v>
      </c>
      <c r="D784" s="3" t="s">
        <v>10</v>
      </c>
      <c r="E784" s="3">
        <v>31.95</v>
      </c>
      <c r="F784" s="3">
        <v>39.39</v>
      </c>
      <c r="G784" s="3">
        <v>81.1</v>
      </c>
      <c r="H784" s="5" t="str">
        <f t="shared" si="1"/>
        <v>March 2026</v>
      </c>
      <c r="I784" s="6">
        <f t="shared" si="2"/>
        <v>46082</v>
      </c>
    </row>
    <row r="785">
      <c r="A785" s="2">
        <v>46113.0</v>
      </c>
      <c r="B785" s="3">
        <v>2026.0</v>
      </c>
      <c r="C785" s="3">
        <v>4.0</v>
      </c>
      <c r="D785" s="3" t="s">
        <v>10</v>
      </c>
      <c r="E785" s="3">
        <v>34.65</v>
      </c>
      <c r="F785" s="3">
        <v>42.96</v>
      </c>
      <c r="G785" s="3">
        <v>80.7</v>
      </c>
      <c r="H785" s="5" t="str">
        <f t="shared" si="1"/>
        <v>April 2026</v>
      </c>
      <c r="I785" s="6">
        <f t="shared" si="2"/>
        <v>46113</v>
      </c>
    </row>
    <row r="786">
      <c r="A786" s="2">
        <v>40179.0</v>
      </c>
      <c r="B786" s="3">
        <v>2010.0</v>
      </c>
      <c r="C786" s="3">
        <v>1.0</v>
      </c>
      <c r="D786" s="3" t="s">
        <v>11</v>
      </c>
      <c r="E786" s="3">
        <v>11.99</v>
      </c>
      <c r="F786" s="3">
        <v>14.21</v>
      </c>
      <c r="G786" s="3">
        <v>84.4</v>
      </c>
      <c r="H786" s="5" t="str">
        <f t="shared" si="1"/>
        <v>January 2010</v>
      </c>
      <c r="I786" s="6">
        <f t="shared" si="2"/>
        <v>40179</v>
      </c>
    </row>
    <row r="787">
      <c r="A787" s="2">
        <v>40210.0</v>
      </c>
      <c r="B787" s="3">
        <v>2010.0</v>
      </c>
      <c r="C787" s="3">
        <v>2.0</v>
      </c>
      <c r="D787" s="3" t="s">
        <v>11</v>
      </c>
      <c r="E787" s="3">
        <v>12.08</v>
      </c>
      <c r="F787" s="3">
        <v>13.89</v>
      </c>
      <c r="G787" s="3">
        <v>86.9</v>
      </c>
      <c r="H787" s="5" t="str">
        <f t="shared" si="1"/>
        <v>February 2010</v>
      </c>
      <c r="I787" s="6">
        <f t="shared" si="2"/>
        <v>40210</v>
      </c>
    </row>
    <row r="788">
      <c r="A788" s="2">
        <v>40238.0</v>
      </c>
      <c r="B788" s="3">
        <v>2010.0</v>
      </c>
      <c r="C788" s="3">
        <v>3.0</v>
      </c>
      <c r="D788" s="3" t="s">
        <v>11</v>
      </c>
      <c r="E788" s="3">
        <v>11.71</v>
      </c>
      <c r="F788" s="3">
        <v>14.39</v>
      </c>
      <c r="G788" s="3">
        <v>81.4</v>
      </c>
      <c r="H788" s="5" t="str">
        <f t="shared" si="1"/>
        <v>March 2010</v>
      </c>
      <c r="I788" s="6">
        <f t="shared" si="2"/>
        <v>40238</v>
      </c>
    </row>
    <row r="789">
      <c r="A789" s="2">
        <v>40269.0</v>
      </c>
      <c r="B789" s="3">
        <v>2010.0</v>
      </c>
      <c r="C789" s="3">
        <v>4.0</v>
      </c>
      <c r="D789" s="3" t="s">
        <v>11</v>
      </c>
      <c r="E789" s="3">
        <v>11.15</v>
      </c>
      <c r="F789" s="3">
        <v>13.51</v>
      </c>
      <c r="G789" s="3">
        <v>82.5</v>
      </c>
      <c r="H789" s="5" t="str">
        <f t="shared" si="1"/>
        <v>April 2010</v>
      </c>
      <c r="I789" s="6">
        <f t="shared" si="2"/>
        <v>40269</v>
      </c>
    </row>
    <row r="790">
      <c r="A790" s="2">
        <v>40299.0</v>
      </c>
      <c r="B790" s="3">
        <v>2010.0</v>
      </c>
      <c r="C790" s="3">
        <v>5.0</v>
      </c>
      <c r="D790" s="3" t="s">
        <v>11</v>
      </c>
      <c r="E790" s="3">
        <v>10.78</v>
      </c>
      <c r="F790" s="3">
        <v>12.51</v>
      </c>
      <c r="G790" s="3">
        <v>86.2</v>
      </c>
      <c r="H790" s="5" t="str">
        <f t="shared" si="1"/>
        <v>May 2010</v>
      </c>
      <c r="I790" s="6">
        <f t="shared" si="2"/>
        <v>40299</v>
      </c>
    </row>
    <row r="791">
      <c r="A791" s="2">
        <v>40330.0</v>
      </c>
      <c r="B791" s="3">
        <v>2010.0</v>
      </c>
      <c r="C791" s="3">
        <v>6.0</v>
      </c>
      <c r="D791" s="3" t="s">
        <v>11</v>
      </c>
      <c r="E791" s="3">
        <v>10.02</v>
      </c>
      <c r="F791" s="3">
        <v>11.97</v>
      </c>
      <c r="G791" s="3">
        <v>83.7</v>
      </c>
      <c r="H791" s="5" t="str">
        <f t="shared" si="1"/>
        <v>June 2010</v>
      </c>
      <c r="I791" s="6">
        <f t="shared" si="2"/>
        <v>40330</v>
      </c>
    </row>
    <row r="792">
      <c r="A792" s="2">
        <v>40360.0</v>
      </c>
      <c r="B792" s="3">
        <v>2010.0</v>
      </c>
      <c r="C792" s="3">
        <v>7.0</v>
      </c>
      <c r="D792" s="3" t="s">
        <v>11</v>
      </c>
      <c r="E792" s="3">
        <v>10.23</v>
      </c>
      <c r="F792" s="3">
        <v>12.98</v>
      </c>
      <c r="G792" s="3">
        <v>78.9</v>
      </c>
      <c r="H792" s="5" t="str">
        <f t="shared" si="1"/>
        <v>July 2010</v>
      </c>
      <c r="I792" s="6">
        <f t="shared" si="2"/>
        <v>40360</v>
      </c>
    </row>
    <row r="793">
      <c r="A793" s="2">
        <v>40391.0</v>
      </c>
      <c r="B793" s="3">
        <v>2010.0</v>
      </c>
      <c r="C793" s="3">
        <v>8.0</v>
      </c>
      <c r="D793" s="3" t="s">
        <v>11</v>
      </c>
      <c r="E793" s="3">
        <v>10.61</v>
      </c>
      <c r="F793" s="3">
        <v>12.55</v>
      </c>
      <c r="G793" s="3">
        <v>84.5</v>
      </c>
      <c r="H793" s="5" t="str">
        <f t="shared" si="1"/>
        <v>August 2010</v>
      </c>
      <c r="I793" s="6">
        <f t="shared" si="2"/>
        <v>40391</v>
      </c>
    </row>
    <row r="794">
      <c r="A794" s="2">
        <v>40422.0</v>
      </c>
      <c r="B794" s="3">
        <v>2010.0</v>
      </c>
      <c r="C794" s="3">
        <v>9.0</v>
      </c>
      <c r="D794" s="3" t="s">
        <v>11</v>
      </c>
      <c r="E794" s="3">
        <v>10.56</v>
      </c>
      <c r="F794" s="3">
        <v>12.87</v>
      </c>
      <c r="G794" s="3">
        <v>82.0</v>
      </c>
      <c r="H794" s="5" t="str">
        <f t="shared" si="1"/>
        <v>September 2010</v>
      </c>
      <c r="I794" s="6">
        <f t="shared" si="2"/>
        <v>40422</v>
      </c>
    </row>
    <row r="795">
      <c r="A795" s="4">
        <v>40452.0</v>
      </c>
      <c r="B795" s="3">
        <v>2010.0</v>
      </c>
      <c r="C795" s="3">
        <v>10.0</v>
      </c>
      <c r="D795" s="3" t="s">
        <v>11</v>
      </c>
      <c r="E795" s="3">
        <v>10.87</v>
      </c>
      <c r="F795" s="3">
        <v>13.68</v>
      </c>
      <c r="G795" s="3">
        <v>79.5</v>
      </c>
      <c r="H795" s="5" t="str">
        <f t="shared" si="1"/>
        <v>October 2010</v>
      </c>
      <c r="I795" s="6">
        <f t="shared" si="2"/>
        <v>40452</v>
      </c>
    </row>
    <row r="796">
      <c r="A796" s="4">
        <v>40483.0</v>
      </c>
      <c r="B796" s="3">
        <v>2010.0</v>
      </c>
      <c r="C796" s="3">
        <v>11.0</v>
      </c>
      <c r="D796" s="3" t="s">
        <v>11</v>
      </c>
      <c r="E796" s="3">
        <v>12.46</v>
      </c>
      <c r="F796" s="3">
        <v>15.37</v>
      </c>
      <c r="G796" s="3">
        <v>81.1</v>
      </c>
      <c r="H796" s="5" t="str">
        <f t="shared" si="1"/>
        <v>November 2010</v>
      </c>
      <c r="I796" s="6">
        <f t="shared" si="2"/>
        <v>40483</v>
      </c>
    </row>
    <row r="797">
      <c r="A797" s="4">
        <v>40513.0</v>
      </c>
      <c r="B797" s="3">
        <v>2010.0</v>
      </c>
      <c r="C797" s="3">
        <v>12.0</v>
      </c>
      <c r="D797" s="3" t="s">
        <v>11</v>
      </c>
      <c r="E797" s="3">
        <v>12.14</v>
      </c>
      <c r="F797" s="3">
        <v>14.72</v>
      </c>
      <c r="G797" s="3">
        <v>82.5</v>
      </c>
      <c r="H797" s="5" t="str">
        <f t="shared" si="1"/>
        <v>December 2010</v>
      </c>
      <c r="I797" s="6">
        <f t="shared" si="2"/>
        <v>40513</v>
      </c>
    </row>
    <row r="798">
      <c r="A798" s="2">
        <v>40544.0</v>
      </c>
      <c r="B798" s="3">
        <v>2011.0</v>
      </c>
      <c r="C798" s="3">
        <v>1.0</v>
      </c>
      <c r="D798" s="3" t="s">
        <v>11</v>
      </c>
      <c r="E798" s="3">
        <v>12.56</v>
      </c>
      <c r="F798" s="3">
        <v>15.5</v>
      </c>
      <c r="G798" s="3">
        <v>81.1</v>
      </c>
      <c r="H798" s="5" t="str">
        <f t="shared" si="1"/>
        <v>January 2011</v>
      </c>
      <c r="I798" s="6">
        <f t="shared" si="2"/>
        <v>40544</v>
      </c>
    </row>
    <row r="799">
      <c r="A799" s="2">
        <v>40575.0</v>
      </c>
      <c r="B799" s="3">
        <v>2011.0</v>
      </c>
      <c r="C799" s="3">
        <v>2.0</v>
      </c>
      <c r="D799" s="3" t="s">
        <v>11</v>
      </c>
      <c r="E799" s="3">
        <v>12.94</v>
      </c>
      <c r="F799" s="3">
        <v>16.24</v>
      </c>
      <c r="G799" s="3">
        <v>79.7</v>
      </c>
      <c r="H799" s="5" t="str">
        <f t="shared" si="1"/>
        <v>February 2011</v>
      </c>
      <c r="I799" s="6">
        <f t="shared" si="2"/>
        <v>40575</v>
      </c>
    </row>
    <row r="800">
      <c r="A800" s="2">
        <v>40603.0</v>
      </c>
      <c r="B800" s="3">
        <v>2011.0</v>
      </c>
      <c r="C800" s="3">
        <v>3.0</v>
      </c>
      <c r="D800" s="3" t="s">
        <v>11</v>
      </c>
      <c r="E800" s="3">
        <v>11.96</v>
      </c>
      <c r="F800" s="3">
        <v>14.53</v>
      </c>
      <c r="G800" s="3">
        <v>82.3</v>
      </c>
      <c r="H800" s="5" t="str">
        <f t="shared" si="1"/>
        <v>March 2011</v>
      </c>
      <c r="I800" s="6">
        <f t="shared" si="2"/>
        <v>40603</v>
      </c>
    </row>
    <row r="801">
      <c r="A801" s="2">
        <v>40634.0</v>
      </c>
      <c r="B801" s="3">
        <v>2011.0</v>
      </c>
      <c r="C801" s="3">
        <v>4.0</v>
      </c>
      <c r="D801" s="3" t="s">
        <v>11</v>
      </c>
      <c r="E801" s="3">
        <v>12.1</v>
      </c>
      <c r="F801" s="3">
        <v>14.32</v>
      </c>
      <c r="G801" s="3">
        <v>84.5</v>
      </c>
      <c r="H801" s="5" t="str">
        <f t="shared" si="1"/>
        <v>April 2011</v>
      </c>
      <c r="I801" s="6">
        <f t="shared" si="2"/>
        <v>40634</v>
      </c>
    </row>
    <row r="802">
      <c r="A802" s="2">
        <v>40664.0</v>
      </c>
      <c r="B802" s="3">
        <v>2011.0</v>
      </c>
      <c r="C802" s="3">
        <v>5.0</v>
      </c>
      <c r="D802" s="3" t="s">
        <v>11</v>
      </c>
      <c r="E802" s="3">
        <v>10.99</v>
      </c>
      <c r="F802" s="3">
        <v>13.1</v>
      </c>
      <c r="G802" s="3">
        <v>83.9</v>
      </c>
      <c r="H802" s="5" t="str">
        <f t="shared" si="1"/>
        <v>May 2011</v>
      </c>
      <c r="I802" s="6">
        <f t="shared" si="2"/>
        <v>40664</v>
      </c>
    </row>
    <row r="803">
      <c r="A803" s="2">
        <v>40695.0</v>
      </c>
      <c r="B803" s="3">
        <v>2011.0</v>
      </c>
      <c r="C803" s="3">
        <v>6.0</v>
      </c>
      <c r="D803" s="3" t="s">
        <v>11</v>
      </c>
      <c r="E803" s="3">
        <v>10.57</v>
      </c>
      <c r="F803" s="3">
        <v>12.34</v>
      </c>
      <c r="G803" s="3">
        <v>85.7</v>
      </c>
      <c r="H803" s="5" t="str">
        <f t="shared" si="1"/>
        <v>June 2011</v>
      </c>
      <c r="I803" s="6">
        <f t="shared" si="2"/>
        <v>40695</v>
      </c>
    </row>
    <row r="804">
      <c r="A804" s="2">
        <v>40725.0</v>
      </c>
      <c r="B804" s="3">
        <v>2011.0</v>
      </c>
      <c r="C804" s="3">
        <v>7.0</v>
      </c>
      <c r="D804" s="3" t="s">
        <v>11</v>
      </c>
      <c r="E804" s="3">
        <v>10.35</v>
      </c>
      <c r="F804" s="3">
        <v>12.23</v>
      </c>
      <c r="G804" s="3">
        <v>84.7</v>
      </c>
      <c r="H804" s="5" t="str">
        <f t="shared" si="1"/>
        <v>July 2011</v>
      </c>
      <c r="I804" s="6">
        <f t="shared" si="2"/>
        <v>40725</v>
      </c>
    </row>
    <row r="805">
      <c r="A805" s="2">
        <v>40756.0</v>
      </c>
      <c r="B805" s="3">
        <v>2011.0</v>
      </c>
      <c r="C805" s="3">
        <v>8.0</v>
      </c>
      <c r="D805" s="3" t="s">
        <v>11</v>
      </c>
      <c r="E805" s="3">
        <v>10.7</v>
      </c>
      <c r="F805" s="3">
        <v>12.44</v>
      </c>
      <c r="G805" s="3">
        <v>86.0</v>
      </c>
      <c r="H805" s="5" t="str">
        <f t="shared" si="1"/>
        <v>August 2011</v>
      </c>
      <c r="I805" s="6">
        <f t="shared" si="2"/>
        <v>40756</v>
      </c>
    </row>
    <row r="806">
      <c r="A806" s="2">
        <v>40787.0</v>
      </c>
      <c r="B806" s="3">
        <v>2011.0</v>
      </c>
      <c r="C806" s="3">
        <v>9.0</v>
      </c>
      <c r="D806" s="3" t="s">
        <v>11</v>
      </c>
      <c r="E806" s="3">
        <v>11.6</v>
      </c>
      <c r="F806" s="3">
        <v>14.51</v>
      </c>
      <c r="G806" s="3">
        <v>80.0</v>
      </c>
      <c r="H806" s="5" t="str">
        <f t="shared" si="1"/>
        <v>September 2011</v>
      </c>
      <c r="I806" s="6">
        <f t="shared" si="2"/>
        <v>40787</v>
      </c>
    </row>
    <row r="807">
      <c r="A807" s="4">
        <v>40817.0</v>
      </c>
      <c r="B807" s="3">
        <v>2011.0</v>
      </c>
      <c r="C807" s="3">
        <v>10.0</v>
      </c>
      <c r="D807" s="3" t="s">
        <v>11</v>
      </c>
      <c r="E807" s="3">
        <v>11.86</v>
      </c>
      <c r="F807" s="3">
        <v>14.2</v>
      </c>
      <c r="G807" s="3">
        <v>83.6</v>
      </c>
      <c r="H807" s="5" t="str">
        <f t="shared" si="1"/>
        <v>October 2011</v>
      </c>
      <c r="I807" s="6">
        <f t="shared" si="2"/>
        <v>40817</v>
      </c>
    </row>
    <row r="808">
      <c r="A808" s="4">
        <v>40848.0</v>
      </c>
      <c r="B808" s="3">
        <v>2011.0</v>
      </c>
      <c r="C808" s="3">
        <v>11.0</v>
      </c>
      <c r="D808" s="3" t="s">
        <v>11</v>
      </c>
      <c r="E808" s="3">
        <v>13.11</v>
      </c>
      <c r="F808" s="3">
        <v>16.02</v>
      </c>
      <c r="G808" s="3">
        <v>81.9</v>
      </c>
      <c r="H808" s="5" t="str">
        <f t="shared" si="1"/>
        <v>November 2011</v>
      </c>
      <c r="I808" s="6">
        <f t="shared" si="2"/>
        <v>40848</v>
      </c>
    </row>
    <row r="809">
      <c r="A809" s="4">
        <v>40878.0</v>
      </c>
      <c r="B809" s="3">
        <v>2011.0</v>
      </c>
      <c r="C809" s="3">
        <v>12.0</v>
      </c>
      <c r="D809" s="3" t="s">
        <v>11</v>
      </c>
      <c r="E809" s="3">
        <v>13.22</v>
      </c>
      <c r="F809" s="3">
        <v>15.83</v>
      </c>
      <c r="G809" s="3">
        <v>83.5</v>
      </c>
      <c r="H809" s="5" t="str">
        <f t="shared" si="1"/>
        <v>December 2011</v>
      </c>
      <c r="I809" s="6">
        <f t="shared" si="2"/>
        <v>40878</v>
      </c>
    </row>
    <row r="810">
      <c r="A810" s="2">
        <v>40909.0</v>
      </c>
      <c r="B810" s="3">
        <v>2012.0</v>
      </c>
      <c r="C810" s="3">
        <v>1.0</v>
      </c>
      <c r="D810" s="3" t="s">
        <v>11</v>
      </c>
      <c r="E810" s="3">
        <v>13.47</v>
      </c>
      <c r="F810" s="3">
        <v>16.97</v>
      </c>
      <c r="G810" s="3">
        <v>79.4</v>
      </c>
      <c r="H810" s="5" t="str">
        <f t="shared" si="1"/>
        <v>January 2012</v>
      </c>
      <c r="I810" s="6">
        <f t="shared" si="2"/>
        <v>40909</v>
      </c>
    </row>
    <row r="811">
      <c r="A811" s="2">
        <v>40940.0</v>
      </c>
      <c r="B811" s="3">
        <v>2012.0</v>
      </c>
      <c r="C811" s="3">
        <v>2.0</v>
      </c>
      <c r="D811" s="3" t="s">
        <v>11</v>
      </c>
      <c r="E811" s="3">
        <v>12.99</v>
      </c>
      <c r="F811" s="3">
        <v>15.75</v>
      </c>
      <c r="G811" s="3">
        <v>82.5</v>
      </c>
      <c r="H811" s="5" t="str">
        <f t="shared" si="1"/>
        <v>February 2012</v>
      </c>
      <c r="I811" s="6">
        <f t="shared" si="2"/>
        <v>40940</v>
      </c>
    </row>
    <row r="812">
      <c r="A812" s="2">
        <v>40969.0</v>
      </c>
      <c r="B812" s="3">
        <v>2012.0</v>
      </c>
      <c r="C812" s="3">
        <v>3.0</v>
      </c>
      <c r="D812" s="3" t="s">
        <v>11</v>
      </c>
      <c r="E812" s="3">
        <v>13.39</v>
      </c>
      <c r="F812" s="3">
        <v>15.72</v>
      </c>
      <c r="G812" s="3">
        <v>85.2</v>
      </c>
      <c r="H812" s="5" t="str">
        <f t="shared" si="1"/>
        <v>March 2012</v>
      </c>
      <c r="I812" s="6">
        <f t="shared" si="2"/>
        <v>40969</v>
      </c>
    </row>
    <row r="813">
      <c r="A813" s="2">
        <v>41000.0</v>
      </c>
      <c r="B813" s="3">
        <v>2012.0</v>
      </c>
      <c r="C813" s="3">
        <v>4.0</v>
      </c>
      <c r="D813" s="3" t="s">
        <v>11</v>
      </c>
      <c r="E813" s="3">
        <v>12.64</v>
      </c>
      <c r="F813" s="3">
        <v>15.31</v>
      </c>
      <c r="G813" s="3">
        <v>82.6</v>
      </c>
      <c r="H813" s="5" t="str">
        <f t="shared" si="1"/>
        <v>April 2012</v>
      </c>
      <c r="I813" s="6">
        <f t="shared" si="2"/>
        <v>41000</v>
      </c>
    </row>
    <row r="814">
      <c r="A814" s="2">
        <v>41030.0</v>
      </c>
      <c r="B814" s="3">
        <v>2012.0</v>
      </c>
      <c r="C814" s="3">
        <v>5.0</v>
      </c>
      <c r="D814" s="3" t="s">
        <v>11</v>
      </c>
      <c r="E814" s="3">
        <v>12.05</v>
      </c>
      <c r="F814" s="3">
        <v>14.94</v>
      </c>
      <c r="G814" s="3">
        <v>80.7</v>
      </c>
      <c r="H814" s="5" t="str">
        <f t="shared" si="1"/>
        <v>May 2012</v>
      </c>
      <c r="I814" s="6">
        <f t="shared" si="2"/>
        <v>41030</v>
      </c>
    </row>
    <row r="815">
      <c r="A815" s="2">
        <v>41061.0</v>
      </c>
      <c r="B815" s="3">
        <v>2012.0</v>
      </c>
      <c r="C815" s="3">
        <v>6.0</v>
      </c>
      <c r="D815" s="3" t="s">
        <v>11</v>
      </c>
      <c r="E815" s="3">
        <v>11.32</v>
      </c>
      <c r="F815" s="3">
        <v>14.09</v>
      </c>
      <c r="G815" s="3">
        <v>80.4</v>
      </c>
      <c r="H815" s="5" t="str">
        <f t="shared" si="1"/>
        <v>June 2012</v>
      </c>
      <c r="I815" s="6">
        <f t="shared" si="2"/>
        <v>41061</v>
      </c>
    </row>
    <row r="816">
      <c r="A816" s="2">
        <v>41091.0</v>
      </c>
      <c r="B816" s="3">
        <v>2012.0</v>
      </c>
      <c r="C816" s="3">
        <v>7.0</v>
      </c>
      <c r="D816" s="3" t="s">
        <v>11</v>
      </c>
      <c r="E816" s="3">
        <v>10.84</v>
      </c>
      <c r="F816" s="3">
        <v>13.11</v>
      </c>
      <c r="G816" s="3">
        <v>82.7</v>
      </c>
      <c r="H816" s="5" t="str">
        <f t="shared" si="1"/>
        <v>July 2012</v>
      </c>
      <c r="I816" s="6">
        <f t="shared" si="2"/>
        <v>41091</v>
      </c>
    </row>
    <row r="817">
      <c r="A817" s="2">
        <v>41122.0</v>
      </c>
      <c r="B817" s="3">
        <v>2012.0</v>
      </c>
      <c r="C817" s="3">
        <v>8.0</v>
      </c>
      <c r="D817" s="3" t="s">
        <v>11</v>
      </c>
      <c r="E817" s="3">
        <v>11.53</v>
      </c>
      <c r="F817" s="3">
        <v>13.83</v>
      </c>
      <c r="G817" s="3">
        <v>83.4</v>
      </c>
      <c r="H817" s="5" t="str">
        <f t="shared" si="1"/>
        <v>August 2012</v>
      </c>
      <c r="I817" s="6">
        <f t="shared" si="2"/>
        <v>41122</v>
      </c>
    </row>
    <row r="818">
      <c r="A818" s="2">
        <v>41153.0</v>
      </c>
      <c r="B818" s="3">
        <v>2012.0</v>
      </c>
      <c r="C818" s="3">
        <v>9.0</v>
      </c>
      <c r="D818" s="3" t="s">
        <v>11</v>
      </c>
      <c r="E818" s="3">
        <v>12.17</v>
      </c>
      <c r="F818" s="3">
        <v>14.75</v>
      </c>
      <c r="G818" s="3">
        <v>82.5</v>
      </c>
      <c r="H818" s="5" t="str">
        <f t="shared" si="1"/>
        <v>September 2012</v>
      </c>
      <c r="I818" s="6">
        <f t="shared" si="2"/>
        <v>41153</v>
      </c>
    </row>
    <row r="819">
      <c r="A819" s="4">
        <v>41183.0</v>
      </c>
      <c r="B819" s="3">
        <v>2012.0</v>
      </c>
      <c r="C819" s="3">
        <v>10.0</v>
      </c>
      <c r="D819" s="3" t="s">
        <v>11</v>
      </c>
      <c r="E819" s="3">
        <v>12.86</v>
      </c>
      <c r="F819" s="3">
        <v>15.7</v>
      </c>
      <c r="G819" s="3">
        <v>81.9</v>
      </c>
      <c r="H819" s="5" t="str">
        <f t="shared" si="1"/>
        <v>October 2012</v>
      </c>
      <c r="I819" s="6">
        <f t="shared" si="2"/>
        <v>41183</v>
      </c>
    </row>
    <row r="820">
      <c r="A820" s="4">
        <v>41214.0</v>
      </c>
      <c r="B820" s="3">
        <v>2012.0</v>
      </c>
      <c r="C820" s="3">
        <v>11.0</v>
      </c>
      <c r="D820" s="3" t="s">
        <v>11</v>
      </c>
      <c r="E820" s="3">
        <v>13.5</v>
      </c>
      <c r="F820" s="3">
        <v>16.76</v>
      </c>
      <c r="G820" s="3">
        <v>80.5</v>
      </c>
      <c r="H820" s="5" t="str">
        <f t="shared" si="1"/>
        <v>November 2012</v>
      </c>
      <c r="I820" s="6">
        <f t="shared" si="2"/>
        <v>41214</v>
      </c>
    </row>
    <row r="821">
      <c r="A821" s="4">
        <v>41244.0</v>
      </c>
      <c r="B821" s="3">
        <v>2012.0</v>
      </c>
      <c r="C821" s="3">
        <v>12.0</v>
      </c>
      <c r="D821" s="3" t="s">
        <v>11</v>
      </c>
      <c r="E821" s="3">
        <v>14.01</v>
      </c>
      <c r="F821" s="3">
        <v>16.81</v>
      </c>
      <c r="G821" s="3">
        <v>83.3</v>
      </c>
      <c r="H821" s="5" t="str">
        <f t="shared" si="1"/>
        <v>December 2012</v>
      </c>
      <c r="I821" s="6">
        <f t="shared" si="2"/>
        <v>41244</v>
      </c>
    </row>
    <row r="822">
      <c r="A822" s="2">
        <v>41275.0</v>
      </c>
      <c r="B822" s="3">
        <v>2013.0</v>
      </c>
      <c r="C822" s="3">
        <v>1.0</v>
      </c>
      <c r="D822" s="3" t="s">
        <v>11</v>
      </c>
      <c r="E822" s="3">
        <v>13.8</v>
      </c>
      <c r="F822" s="3">
        <v>16.81</v>
      </c>
      <c r="G822" s="3">
        <v>82.1</v>
      </c>
      <c r="H822" s="5" t="str">
        <f t="shared" si="1"/>
        <v>January 2013</v>
      </c>
      <c r="I822" s="6">
        <f t="shared" si="2"/>
        <v>41275</v>
      </c>
    </row>
    <row r="823">
      <c r="A823" s="2">
        <v>41306.0</v>
      </c>
      <c r="B823" s="3">
        <v>2013.0</v>
      </c>
      <c r="C823" s="3">
        <v>2.0</v>
      </c>
      <c r="D823" s="3" t="s">
        <v>11</v>
      </c>
      <c r="E823" s="3">
        <v>13.7</v>
      </c>
      <c r="F823" s="3">
        <v>16.93</v>
      </c>
      <c r="G823" s="3">
        <v>80.9</v>
      </c>
      <c r="H823" s="5" t="str">
        <f t="shared" si="1"/>
        <v>February 2013</v>
      </c>
      <c r="I823" s="6">
        <f t="shared" si="2"/>
        <v>41306</v>
      </c>
    </row>
    <row r="824">
      <c r="A824" s="2">
        <v>41334.0</v>
      </c>
      <c r="B824" s="3">
        <v>2013.0</v>
      </c>
      <c r="C824" s="3">
        <v>3.0</v>
      </c>
      <c r="D824" s="3" t="s">
        <v>11</v>
      </c>
      <c r="E824" s="3">
        <v>13.1</v>
      </c>
      <c r="F824" s="3">
        <v>15.49</v>
      </c>
      <c r="G824" s="3">
        <v>84.5</v>
      </c>
      <c r="H824" s="5" t="str">
        <f t="shared" si="1"/>
        <v>March 2013</v>
      </c>
      <c r="I824" s="6">
        <f t="shared" si="2"/>
        <v>41334</v>
      </c>
    </row>
    <row r="825">
      <c r="A825" s="2">
        <v>41365.0</v>
      </c>
      <c r="B825" s="3">
        <v>2013.0</v>
      </c>
      <c r="C825" s="3">
        <v>4.0</v>
      </c>
      <c r="D825" s="3" t="s">
        <v>11</v>
      </c>
      <c r="E825" s="3">
        <v>13.37</v>
      </c>
      <c r="F825" s="3">
        <v>16.09</v>
      </c>
      <c r="G825" s="3">
        <v>83.1</v>
      </c>
      <c r="H825" s="5" t="str">
        <f t="shared" si="1"/>
        <v>April 2013</v>
      </c>
      <c r="I825" s="6">
        <f t="shared" si="2"/>
        <v>41365</v>
      </c>
    </row>
    <row r="826">
      <c r="A826" s="2">
        <v>41395.0</v>
      </c>
      <c r="B826" s="3">
        <v>2013.0</v>
      </c>
      <c r="C826" s="3">
        <v>5.0</v>
      </c>
      <c r="D826" s="3" t="s">
        <v>11</v>
      </c>
      <c r="E826" s="3">
        <v>13.1</v>
      </c>
      <c r="F826" s="3">
        <v>16.05</v>
      </c>
      <c r="G826" s="3">
        <v>81.6</v>
      </c>
      <c r="H826" s="5" t="str">
        <f t="shared" si="1"/>
        <v>May 2013</v>
      </c>
      <c r="I826" s="6">
        <f t="shared" si="2"/>
        <v>41395</v>
      </c>
    </row>
    <row r="827">
      <c r="A827" s="2">
        <v>41426.0</v>
      </c>
      <c r="B827" s="3">
        <v>2013.0</v>
      </c>
      <c r="C827" s="3">
        <v>6.0</v>
      </c>
      <c r="D827" s="3" t="s">
        <v>11</v>
      </c>
      <c r="E827" s="3">
        <v>13.05</v>
      </c>
      <c r="F827" s="3">
        <v>16.01</v>
      </c>
      <c r="G827" s="3">
        <v>81.5</v>
      </c>
      <c r="H827" s="5" t="str">
        <f t="shared" si="1"/>
        <v>June 2013</v>
      </c>
      <c r="I827" s="6">
        <f t="shared" si="2"/>
        <v>41426</v>
      </c>
    </row>
    <row r="828">
      <c r="A828" s="2">
        <v>41456.0</v>
      </c>
      <c r="B828" s="3">
        <v>2013.0</v>
      </c>
      <c r="C828" s="3">
        <v>7.0</v>
      </c>
      <c r="D828" s="3" t="s">
        <v>11</v>
      </c>
      <c r="E828" s="3">
        <v>11.88</v>
      </c>
      <c r="F828" s="3">
        <v>14.63</v>
      </c>
      <c r="G828" s="3">
        <v>81.2</v>
      </c>
      <c r="H828" s="5" t="str">
        <f t="shared" si="1"/>
        <v>July 2013</v>
      </c>
      <c r="I828" s="6">
        <f t="shared" si="2"/>
        <v>41456</v>
      </c>
    </row>
    <row r="829">
      <c r="A829" s="2">
        <v>41487.0</v>
      </c>
      <c r="B829" s="3">
        <v>2013.0</v>
      </c>
      <c r="C829" s="3">
        <v>8.0</v>
      </c>
      <c r="D829" s="3" t="s">
        <v>11</v>
      </c>
      <c r="E829" s="3">
        <v>12.15</v>
      </c>
      <c r="F829" s="3">
        <v>14.52</v>
      </c>
      <c r="G829" s="3">
        <v>83.7</v>
      </c>
      <c r="H829" s="5" t="str">
        <f t="shared" si="1"/>
        <v>August 2013</v>
      </c>
      <c r="I829" s="6">
        <f t="shared" si="2"/>
        <v>41487</v>
      </c>
    </row>
    <row r="830">
      <c r="A830" s="2">
        <v>41518.0</v>
      </c>
      <c r="B830" s="3">
        <v>2013.0</v>
      </c>
      <c r="C830" s="3">
        <v>9.0</v>
      </c>
      <c r="D830" s="3" t="s">
        <v>11</v>
      </c>
      <c r="E830" s="3">
        <v>12.5</v>
      </c>
      <c r="F830" s="3">
        <v>14.61</v>
      </c>
      <c r="G830" s="3">
        <v>85.6</v>
      </c>
      <c r="H830" s="5" t="str">
        <f t="shared" si="1"/>
        <v>September 2013</v>
      </c>
      <c r="I830" s="6">
        <f t="shared" si="2"/>
        <v>41518</v>
      </c>
    </row>
    <row r="831">
      <c r="A831" s="4">
        <v>41548.0</v>
      </c>
      <c r="B831" s="3">
        <v>2013.0</v>
      </c>
      <c r="C831" s="3">
        <v>10.0</v>
      </c>
      <c r="D831" s="3" t="s">
        <v>11</v>
      </c>
      <c r="E831" s="3">
        <v>13.35</v>
      </c>
      <c r="F831" s="3">
        <v>16.17</v>
      </c>
      <c r="G831" s="3">
        <v>82.5</v>
      </c>
      <c r="H831" s="5" t="str">
        <f t="shared" si="1"/>
        <v>October 2013</v>
      </c>
      <c r="I831" s="6">
        <f t="shared" si="2"/>
        <v>41548</v>
      </c>
    </row>
    <row r="832">
      <c r="A832" s="4">
        <v>41579.0</v>
      </c>
      <c r="B832" s="3">
        <v>2013.0</v>
      </c>
      <c r="C832" s="3">
        <v>11.0</v>
      </c>
      <c r="D832" s="3" t="s">
        <v>11</v>
      </c>
      <c r="E832" s="3">
        <v>13.59</v>
      </c>
      <c r="F832" s="3">
        <v>16.4</v>
      </c>
      <c r="G832" s="3">
        <v>82.8</v>
      </c>
      <c r="H832" s="5" t="str">
        <f t="shared" si="1"/>
        <v>November 2013</v>
      </c>
      <c r="I832" s="6">
        <f t="shared" si="2"/>
        <v>41579</v>
      </c>
    </row>
    <row r="833">
      <c r="A833" s="4">
        <v>41609.0</v>
      </c>
      <c r="B833" s="3">
        <v>2013.0</v>
      </c>
      <c r="C833" s="3">
        <v>12.0</v>
      </c>
      <c r="D833" s="3" t="s">
        <v>11</v>
      </c>
      <c r="E833" s="3">
        <v>14.45</v>
      </c>
      <c r="F833" s="3">
        <v>17.88</v>
      </c>
      <c r="G833" s="3">
        <v>80.8</v>
      </c>
      <c r="H833" s="5" t="str">
        <f t="shared" si="1"/>
        <v>December 2013</v>
      </c>
      <c r="I833" s="6">
        <f t="shared" si="2"/>
        <v>41609</v>
      </c>
    </row>
    <row r="834">
      <c r="A834" s="2">
        <v>41640.0</v>
      </c>
      <c r="B834" s="3">
        <v>2014.0</v>
      </c>
      <c r="C834" s="3">
        <v>1.0</v>
      </c>
      <c r="D834" s="3" t="s">
        <v>11</v>
      </c>
      <c r="E834" s="3">
        <v>14.4</v>
      </c>
      <c r="F834" s="3">
        <v>16.49</v>
      </c>
      <c r="G834" s="3">
        <v>87.3</v>
      </c>
      <c r="H834" s="5" t="str">
        <f t="shared" si="1"/>
        <v>January 2014</v>
      </c>
      <c r="I834" s="6">
        <f t="shared" si="2"/>
        <v>41640</v>
      </c>
    </row>
    <row r="835">
      <c r="A835" s="2">
        <v>41671.0</v>
      </c>
      <c r="B835" s="3">
        <v>2014.0</v>
      </c>
      <c r="C835" s="3">
        <v>2.0</v>
      </c>
      <c r="D835" s="3" t="s">
        <v>11</v>
      </c>
      <c r="E835" s="3">
        <v>14.5</v>
      </c>
      <c r="F835" s="3">
        <v>18.33</v>
      </c>
      <c r="G835" s="3">
        <v>79.1</v>
      </c>
      <c r="H835" s="5" t="str">
        <f t="shared" si="1"/>
        <v>February 2014</v>
      </c>
      <c r="I835" s="6">
        <f t="shared" si="2"/>
        <v>41671</v>
      </c>
    </row>
    <row r="836">
      <c r="A836" s="2">
        <v>41699.0</v>
      </c>
      <c r="B836" s="3">
        <v>2014.0</v>
      </c>
      <c r="C836" s="3">
        <v>3.0</v>
      </c>
      <c r="D836" s="3" t="s">
        <v>11</v>
      </c>
      <c r="E836" s="3">
        <v>13.88</v>
      </c>
      <c r="F836" s="3">
        <v>16.95</v>
      </c>
      <c r="G836" s="3">
        <v>81.9</v>
      </c>
      <c r="H836" s="5" t="str">
        <f t="shared" si="1"/>
        <v>March 2014</v>
      </c>
      <c r="I836" s="6">
        <f t="shared" si="2"/>
        <v>41699</v>
      </c>
    </row>
    <row r="837">
      <c r="A837" s="2">
        <v>41730.0</v>
      </c>
      <c r="B837" s="3">
        <v>2014.0</v>
      </c>
      <c r="C837" s="3">
        <v>4.0</v>
      </c>
      <c r="D837" s="3" t="s">
        <v>11</v>
      </c>
      <c r="E837" s="3">
        <v>13.77</v>
      </c>
      <c r="F837" s="3">
        <v>16.57</v>
      </c>
      <c r="G837" s="3">
        <v>83.1</v>
      </c>
      <c r="H837" s="5" t="str">
        <f t="shared" si="1"/>
        <v>April 2014</v>
      </c>
      <c r="I837" s="6">
        <f t="shared" si="2"/>
        <v>41730</v>
      </c>
    </row>
    <row r="838">
      <c r="A838" s="2">
        <v>41760.0</v>
      </c>
      <c r="B838" s="3">
        <v>2014.0</v>
      </c>
      <c r="C838" s="3">
        <v>5.0</v>
      </c>
      <c r="D838" s="3" t="s">
        <v>11</v>
      </c>
      <c r="E838" s="3">
        <v>13.18</v>
      </c>
      <c r="F838" s="3">
        <v>16.34</v>
      </c>
      <c r="G838" s="3">
        <v>80.7</v>
      </c>
      <c r="H838" s="5" t="str">
        <f t="shared" si="1"/>
        <v>May 2014</v>
      </c>
      <c r="I838" s="6">
        <f t="shared" si="2"/>
        <v>41760</v>
      </c>
    </row>
    <row r="839">
      <c r="A839" s="2">
        <v>41791.0</v>
      </c>
      <c r="B839" s="3">
        <v>2014.0</v>
      </c>
      <c r="C839" s="3">
        <v>6.0</v>
      </c>
      <c r="D839" s="3" t="s">
        <v>11</v>
      </c>
      <c r="E839" s="3">
        <v>12.6</v>
      </c>
      <c r="F839" s="3">
        <v>15.7</v>
      </c>
      <c r="G839" s="3">
        <v>80.2</v>
      </c>
      <c r="H839" s="5" t="str">
        <f t="shared" si="1"/>
        <v>June 2014</v>
      </c>
      <c r="I839" s="6">
        <f t="shared" si="2"/>
        <v>41791</v>
      </c>
    </row>
    <row r="840">
      <c r="A840" s="2">
        <v>41821.0</v>
      </c>
      <c r="B840" s="3">
        <v>2014.0</v>
      </c>
      <c r="C840" s="3">
        <v>7.0</v>
      </c>
      <c r="D840" s="3" t="s">
        <v>11</v>
      </c>
      <c r="E840" s="3">
        <v>12.1</v>
      </c>
      <c r="F840" s="3">
        <v>15.1</v>
      </c>
      <c r="G840" s="3">
        <v>80.2</v>
      </c>
      <c r="H840" s="5" t="str">
        <f t="shared" si="1"/>
        <v>July 2014</v>
      </c>
      <c r="I840" s="6">
        <f t="shared" si="2"/>
        <v>41821</v>
      </c>
    </row>
    <row r="841">
      <c r="A841" s="2">
        <v>41852.0</v>
      </c>
      <c r="B841" s="3">
        <v>2014.0</v>
      </c>
      <c r="C841" s="3">
        <v>8.0</v>
      </c>
      <c r="D841" s="3" t="s">
        <v>11</v>
      </c>
      <c r="E841" s="3">
        <v>12.12</v>
      </c>
      <c r="F841" s="3">
        <v>14.41</v>
      </c>
      <c r="G841" s="3">
        <v>84.1</v>
      </c>
      <c r="H841" s="5" t="str">
        <f t="shared" si="1"/>
        <v>August 2014</v>
      </c>
      <c r="I841" s="6">
        <f t="shared" si="2"/>
        <v>41852</v>
      </c>
    </row>
    <row r="842">
      <c r="A842" s="2">
        <v>41883.0</v>
      </c>
      <c r="B842" s="3">
        <v>2014.0</v>
      </c>
      <c r="C842" s="3">
        <v>9.0</v>
      </c>
      <c r="D842" s="3" t="s">
        <v>11</v>
      </c>
      <c r="E842" s="3">
        <v>13.38</v>
      </c>
      <c r="F842" s="3">
        <v>15.94</v>
      </c>
      <c r="G842" s="3">
        <v>84.0</v>
      </c>
      <c r="H842" s="5" t="str">
        <f t="shared" si="1"/>
        <v>September 2014</v>
      </c>
      <c r="I842" s="6">
        <f t="shared" si="2"/>
        <v>41883</v>
      </c>
    </row>
    <row r="843">
      <c r="A843" s="4">
        <v>41913.0</v>
      </c>
      <c r="B843" s="3">
        <v>2014.0</v>
      </c>
      <c r="C843" s="3">
        <v>10.0</v>
      </c>
      <c r="D843" s="3" t="s">
        <v>11</v>
      </c>
      <c r="E843" s="3">
        <v>13.87</v>
      </c>
      <c r="F843" s="3">
        <v>16.6</v>
      </c>
      <c r="G843" s="3">
        <v>83.6</v>
      </c>
      <c r="H843" s="5" t="str">
        <f t="shared" si="1"/>
        <v>October 2014</v>
      </c>
      <c r="I843" s="6">
        <f t="shared" si="2"/>
        <v>41913</v>
      </c>
    </row>
    <row r="844">
      <c r="A844" s="4">
        <v>41944.0</v>
      </c>
      <c r="B844" s="3">
        <v>2014.0</v>
      </c>
      <c r="C844" s="3">
        <v>11.0</v>
      </c>
      <c r="D844" s="3" t="s">
        <v>11</v>
      </c>
      <c r="E844" s="3">
        <v>13.84</v>
      </c>
      <c r="F844" s="3">
        <v>16.53</v>
      </c>
      <c r="G844" s="3">
        <v>83.7</v>
      </c>
      <c r="H844" s="5" t="str">
        <f t="shared" si="1"/>
        <v>November 2014</v>
      </c>
      <c r="I844" s="6">
        <f t="shared" si="2"/>
        <v>41944</v>
      </c>
    </row>
    <row r="845">
      <c r="A845" s="4">
        <v>41974.0</v>
      </c>
      <c r="B845" s="3">
        <v>2014.0</v>
      </c>
      <c r="C845" s="3">
        <v>12.0</v>
      </c>
      <c r="D845" s="3" t="s">
        <v>11</v>
      </c>
      <c r="E845" s="3">
        <v>15.24</v>
      </c>
      <c r="F845" s="3">
        <v>18.3</v>
      </c>
      <c r="G845" s="3">
        <v>83.3</v>
      </c>
      <c r="H845" s="5" t="str">
        <f t="shared" si="1"/>
        <v>December 2014</v>
      </c>
      <c r="I845" s="6">
        <f t="shared" si="2"/>
        <v>41974</v>
      </c>
    </row>
    <row r="846">
      <c r="A846" s="2">
        <v>42005.0</v>
      </c>
      <c r="B846" s="3">
        <v>2015.0</v>
      </c>
      <c r="C846" s="3">
        <v>1.0</v>
      </c>
      <c r="D846" s="3" t="s">
        <v>11</v>
      </c>
      <c r="E846" s="3">
        <v>15.58</v>
      </c>
      <c r="F846" s="3">
        <v>19.46</v>
      </c>
      <c r="G846" s="3">
        <v>80.0</v>
      </c>
      <c r="H846" s="5" t="str">
        <f t="shared" si="1"/>
        <v>January 2015</v>
      </c>
      <c r="I846" s="6">
        <f t="shared" si="2"/>
        <v>42005</v>
      </c>
    </row>
    <row r="847">
      <c r="A847" s="2">
        <v>42036.0</v>
      </c>
      <c r="B847" s="3">
        <v>2015.0</v>
      </c>
      <c r="C847" s="3">
        <v>2.0</v>
      </c>
      <c r="D847" s="3" t="s">
        <v>11</v>
      </c>
      <c r="E847" s="3">
        <v>14.63</v>
      </c>
      <c r="F847" s="3">
        <v>18.16</v>
      </c>
      <c r="G847" s="3">
        <v>80.6</v>
      </c>
      <c r="H847" s="5" t="str">
        <f t="shared" si="1"/>
        <v>February 2015</v>
      </c>
      <c r="I847" s="6">
        <f t="shared" si="2"/>
        <v>42036</v>
      </c>
    </row>
    <row r="848">
      <c r="A848" s="2">
        <v>42064.0</v>
      </c>
      <c r="B848" s="3">
        <v>2015.0</v>
      </c>
      <c r="C848" s="3">
        <v>3.0</v>
      </c>
      <c r="D848" s="3" t="s">
        <v>11</v>
      </c>
      <c r="E848" s="3">
        <v>15.13</v>
      </c>
      <c r="F848" s="3">
        <v>18.14</v>
      </c>
      <c r="G848" s="3">
        <v>83.4</v>
      </c>
      <c r="H848" s="5" t="str">
        <f t="shared" si="1"/>
        <v>March 2015</v>
      </c>
      <c r="I848" s="6">
        <f t="shared" si="2"/>
        <v>42064</v>
      </c>
    </row>
    <row r="849">
      <c r="A849" s="2">
        <v>42095.0</v>
      </c>
      <c r="B849" s="3">
        <v>2015.0</v>
      </c>
      <c r="C849" s="3">
        <v>4.0</v>
      </c>
      <c r="D849" s="3" t="s">
        <v>11</v>
      </c>
      <c r="E849" s="3">
        <v>13.68</v>
      </c>
      <c r="F849" s="3">
        <v>17.09</v>
      </c>
      <c r="G849" s="3">
        <v>80.0</v>
      </c>
      <c r="H849" s="5" t="str">
        <f t="shared" si="1"/>
        <v>April 2015</v>
      </c>
      <c r="I849" s="6">
        <f t="shared" si="2"/>
        <v>42095</v>
      </c>
    </row>
    <row r="850">
      <c r="A850" s="2">
        <v>42125.0</v>
      </c>
      <c r="B850" s="3">
        <v>2015.0</v>
      </c>
      <c r="C850" s="3">
        <v>5.0</v>
      </c>
      <c r="D850" s="3" t="s">
        <v>11</v>
      </c>
      <c r="E850" s="3">
        <v>13.32</v>
      </c>
      <c r="F850" s="3">
        <v>16.39</v>
      </c>
      <c r="G850" s="3">
        <v>81.3</v>
      </c>
      <c r="H850" s="5" t="str">
        <f t="shared" si="1"/>
        <v>May 2015</v>
      </c>
      <c r="I850" s="6">
        <f t="shared" si="2"/>
        <v>42125</v>
      </c>
    </row>
    <row r="851">
      <c r="A851" s="2">
        <v>42156.0</v>
      </c>
      <c r="B851" s="3">
        <v>2015.0</v>
      </c>
      <c r="C851" s="3">
        <v>6.0</v>
      </c>
      <c r="D851" s="3" t="s">
        <v>11</v>
      </c>
      <c r="E851" s="3">
        <v>12.64</v>
      </c>
      <c r="F851" s="3">
        <v>15.97</v>
      </c>
      <c r="G851" s="3">
        <v>79.2</v>
      </c>
      <c r="H851" s="5" t="str">
        <f t="shared" si="1"/>
        <v>June 2015</v>
      </c>
      <c r="I851" s="6">
        <f t="shared" si="2"/>
        <v>42156</v>
      </c>
    </row>
    <row r="852">
      <c r="A852" s="2">
        <v>42186.0</v>
      </c>
      <c r="B852" s="3">
        <v>2015.0</v>
      </c>
      <c r="C852" s="3">
        <v>7.0</v>
      </c>
      <c r="D852" s="3" t="s">
        <v>11</v>
      </c>
      <c r="E852" s="3">
        <v>12.73</v>
      </c>
      <c r="F852" s="3">
        <v>15.49</v>
      </c>
      <c r="G852" s="3">
        <v>82.2</v>
      </c>
      <c r="H852" s="5" t="str">
        <f t="shared" si="1"/>
        <v>July 2015</v>
      </c>
      <c r="I852" s="6">
        <f t="shared" si="2"/>
        <v>42186</v>
      </c>
    </row>
    <row r="853">
      <c r="A853" s="2">
        <v>42217.0</v>
      </c>
      <c r="B853" s="3">
        <v>2015.0</v>
      </c>
      <c r="C853" s="3">
        <v>8.0</v>
      </c>
      <c r="D853" s="3" t="s">
        <v>11</v>
      </c>
      <c r="E853" s="3">
        <v>12.86</v>
      </c>
      <c r="F853" s="3">
        <v>15.72</v>
      </c>
      <c r="G853" s="3">
        <v>81.8</v>
      </c>
      <c r="H853" s="5" t="str">
        <f t="shared" si="1"/>
        <v>August 2015</v>
      </c>
      <c r="I853" s="6">
        <f t="shared" si="2"/>
        <v>42217</v>
      </c>
    </row>
    <row r="854">
      <c r="A854" s="2">
        <v>42248.0</v>
      </c>
      <c r="B854" s="3">
        <v>2015.0</v>
      </c>
      <c r="C854" s="3">
        <v>9.0</v>
      </c>
      <c r="D854" s="3" t="s">
        <v>11</v>
      </c>
      <c r="E854" s="3">
        <v>14.38</v>
      </c>
      <c r="F854" s="3">
        <v>18.12</v>
      </c>
      <c r="G854" s="3">
        <v>79.4</v>
      </c>
      <c r="H854" s="5" t="str">
        <f t="shared" si="1"/>
        <v>September 2015</v>
      </c>
      <c r="I854" s="6">
        <f t="shared" si="2"/>
        <v>42248</v>
      </c>
    </row>
    <row r="855">
      <c r="A855" s="4">
        <v>42278.0</v>
      </c>
      <c r="B855" s="3">
        <v>2015.0</v>
      </c>
      <c r="C855" s="3">
        <v>10.0</v>
      </c>
      <c r="D855" s="3" t="s">
        <v>11</v>
      </c>
      <c r="E855" s="3">
        <v>14.66</v>
      </c>
      <c r="F855" s="3">
        <v>17.44</v>
      </c>
      <c r="G855" s="3">
        <v>84.0</v>
      </c>
      <c r="H855" s="5" t="str">
        <f t="shared" si="1"/>
        <v>October 2015</v>
      </c>
      <c r="I855" s="6">
        <f t="shared" si="2"/>
        <v>42278</v>
      </c>
    </row>
    <row r="856">
      <c r="A856" s="4">
        <v>42309.0</v>
      </c>
      <c r="B856" s="3">
        <v>2015.0</v>
      </c>
      <c r="C856" s="3">
        <v>11.0</v>
      </c>
      <c r="D856" s="3" t="s">
        <v>11</v>
      </c>
      <c r="E856" s="3">
        <v>15.38</v>
      </c>
      <c r="F856" s="3">
        <v>19.02</v>
      </c>
      <c r="G856" s="3">
        <v>80.9</v>
      </c>
      <c r="H856" s="5" t="str">
        <f t="shared" si="1"/>
        <v>November 2015</v>
      </c>
      <c r="I856" s="6">
        <f t="shared" si="2"/>
        <v>42309</v>
      </c>
    </row>
    <row r="857">
      <c r="A857" s="4">
        <v>42339.0</v>
      </c>
      <c r="B857" s="3">
        <v>2015.0</v>
      </c>
      <c r="C857" s="3">
        <v>12.0</v>
      </c>
      <c r="D857" s="3" t="s">
        <v>11</v>
      </c>
      <c r="E857" s="3">
        <v>16.78</v>
      </c>
      <c r="F857" s="3">
        <v>20.62</v>
      </c>
      <c r="G857" s="3">
        <v>81.4</v>
      </c>
      <c r="H857" s="5" t="str">
        <f t="shared" si="1"/>
        <v>December 2015</v>
      </c>
      <c r="I857" s="6">
        <f t="shared" si="2"/>
        <v>42339</v>
      </c>
    </row>
    <row r="858">
      <c r="A858" s="2">
        <v>42370.0</v>
      </c>
      <c r="B858" s="3">
        <v>2016.0</v>
      </c>
      <c r="C858" s="3">
        <v>1.0</v>
      </c>
      <c r="D858" s="3" t="s">
        <v>11</v>
      </c>
      <c r="E858" s="3">
        <v>17.06</v>
      </c>
      <c r="F858" s="3">
        <v>20.58</v>
      </c>
      <c r="G858" s="3">
        <v>82.9</v>
      </c>
      <c r="H858" s="5" t="str">
        <f t="shared" si="1"/>
        <v>January 2016</v>
      </c>
      <c r="I858" s="6">
        <f t="shared" si="2"/>
        <v>42370</v>
      </c>
    </row>
    <row r="859">
      <c r="A859" s="2">
        <v>42401.0</v>
      </c>
      <c r="B859" s="3">
        <v>2016.0</v>
      </c>
      <c r="C859" s="3">
        <v>2.0</v>
      </c>
      <c r="D859" s="3" t="s">
        <v>11</v>
      </c>
      <c r="E859" s="3">
        <v>16.22</v>
      </c>
      <c r="F859" s="3">
        <v>19.55</v>
      </c>
      <c r="G859" s="3">
        <v>83.0</v>
      </c>
      <c r="H859" s="5" t="str">
        <f t="shared" si="1"/>
        <v>February 2016</v>
      </c>
      <c r="I859" s="6">
        <f t="shared" si="2"/>
        <v>42401</v>
      </c>
    </row>
    <row r="860">
      <c r="A860" s="2">
        <v>42430.0</v>
      </c>
      <c r="B860" s="3">
        <v>2016.0</v>
      </c>
      <c r="C860" s="3">
        <v>3.0</v>
      </c>
      <c r="D860" s="3" t="s">
        <v>11</v>
      </c>
      <c r="E860" s="3">
        <v>16.08</v>
      </c>
      <c r="F860" s="3">
        <v>19.13</v>
      </c>
      <c r="G860" s="3">
        <v>84.0</v>
      </c>
      <c r="H860" s="5" t="str">
        <f t="shared" si="1"/>
        <v>March 2016</v>
      </c>
      <c r="I860" s="6">
        <f t="shared" si="2"/>
        <v>42430</v>
      </c>
    </row>
    <row r="861">
      <c r="A861" s="2">
        <v>42461.0</v>
      </c>
      <c r="B861" s="3">
        <v>2016.0</v>
      </c>
      <c r="C861" s="3">
        <v>4.0</v>
      </c>
      <c r="D861" s="3" t="s">
        <v>11</v>
      </c>
      <c r="E861" s="3">
        <v>15.0</v>
      </c>
      <c r="F861" s="3">
        <v>18.28</v>
      </c>
      <c r="G861" s="3">
        <v>82.1</v>
      </c>
      <c r="H861" s="5" t="str">
        <f t="shared" si="1"/>
        <v>April 2016</v>
      </c>
      <c r="I861" s="6">
        <f t="shared" si="2"/>
        <v>42461</v>
      </c>
    </row>
    <row r="862">
      <c r="A862" s="2">
        <v>42491.0</v>
      </c>
      <c r="B862" s="3">
        <v>2016.0</v>
      </c>
      <c r="C862" s="3">
        <v>5.0</v>
      </c>
      <c r="D862" s="3" t="s">
        <v>11</v>
      </c>
      <c r="E862" s="3">
        <v>14.54</v>
      </c>
      <c r="F862" s="3">
        <v>17.43</v>
      </c>
      <c r="G862" s="3">
        <v>83.4</v>
      </c>
      <c r="H862" s="5" t="str">
        <f t="shared" si="1"/>
        <v>May 2016</v>
      </c>
      <c r="I862" s="6">
        <f t="shared" si="2"/>
        <v>42491</v>
      </c>
    </row>
    <row r="863">
      <c r="A863" s="2">
        <v>42522.0</v>
      </c>
      <c r="B863" s="3">
        <v>2016.0</v>
      </c>
      <c r="C863" s="3">
        <v>6.0</v>
      </c>
      <c r="D863" s="3" t="s">
        <v>11</v>
      </c>
      <c r="E863" s="3">
        <v>13.66</v>
      </c>
      <c r="F863" s="3">
        <v>16.25</v>
      </c>
      <c r="G863" s="3">
        <v>84.0</v>
      </c>
      <c r="H863" s="5" t="str">
        <f t="shared" si="1"/>
        <v>June 2016</v>
      </c>
      <c r="I863" s="6">
        <f t="shared" si="2"/>
        <v>42522</v>
      </c>
    </row>
    <row r="864">
      <c r="A864" s="2">
        <v>42552.0</v>
      </c>
      <c r="B864" s="3">
        <v>2016.0</v>
      </c>
      <c r="C864" s="3">
        <v>7.0</v>
      </c>
      <c r="D864" s="3" t="s">
        <v>11</v>
      </c>
      <c r="E864" s="3">
        <v>14.15</v>
      </c>
      <c r="F864" s="3">
        <v>17.82</v>
      </c>
      <c r="G864" s="3">
        <v>79.4</v>
      </c>
      <c r="H864" s="5" t="str">
        <f t="shared" si="1"/>
        <v>July 2016</v>
      </c>
      <c r="I864" s="6">
        <f t="shared" si="2"/>
        <v>42552</v>
      </c>
    </row>
    <row r="865">
      <c r="A865" s="2">
        <v>42583.0</v>
      </c>
      <c r="B865" s="3">
        <v>2016.0</v>
      </c>
      <c r="C865" s="3">
        <v>8.0</v>
      </c>
      <c r="D865" s="3" t="s">
        <v>11</v>
      </c>
      <c r="E865" s="3">
        <v>14.76</v>
      </c>
      <c r="F865" s="3">
        <v>17.07</v>
      </c>
      <c r="G865" s="3">
        <v>86.5</v>
      </c>
      <c r="H865" s="5" t="str">
        <f t="shared" si="1"/>
        <v>August 2016</v>
      </c>
      <c r="I865" s="6">
        <f t="shared" si="2"/>
        <v>42583</v>
      </c>
    </row>
    <row r="866">
      <c r="A866" s="2">
        <v>42614.0</v>
      </c>
      <c r="B866" s="3">
        <v>2016.0</v>
      </c>
      <c r="C866" s="3">
        <v>9.0</v>
      </c>
      <c r="D866" s="3" t="s">
        <v>11</v>
      </c>
      <c r="E866" s="3">
        <v>15.34</v>
      </c>
      <c r="F866" s="3">
        <v>18.08</v>
      </c>
      <c r="G866" s="3">
        <v>84.9</v>
      </c>
      <c r="H866" s="5" t="str">
        <f t="shared" si="1"/>
        <v>September 2016</v>
      </c>
      <c r="I866" s="6">
        <f t="shared" si="2"/>
        <v>42614</v>
      </c>
    </row>
    <row r="867">
      <c r="A867" s="4">
        <v>42644.0</v>
      </c>
      <c r="B867" s="3">
        <v>2016.0</v>
      </c>
      <c r="C867" s="3">
        <v>10.0</v>
      </c>
      <c r="D867" s="3" t="s">
        <v>11</v>
      </c>
      <c r="E867" s="3">
        <v>15.79</v>
      </c>
      <c r="F867" s="3">
        <v>20.07</v>
      </c>
      <c r="G867" s="3">
        <v>78.7</v>
      </c>
      <c r="H867" s="5" t="str">
        <f t="shared" si="1"/>
        <v>October 2016</v>
      </c>
      <c r="I867" s="6">
        <f t="shared" si="2"/>
        <v>42644</v>
      </c>
    </row>
    <row r="868">
      <c r="A868" s="4">
        <v>42675.0</v>
      </c>
      <c r="B868" s="3">
        <v>2016.0</v>
      </c>
      <c r="C868" s="3">
        <v>11.0</v>
      </c>
      <c r="D868" s="3" t="s">
        <v>11</v>
      </c>
      <c r="E868" s="3">
        <v>15.73</v>
      </c>
      <c r="F868" s="3">
        <v>19.06</v>
      </c>
      <c r="G868" s="3">
        <v>82.5</v>
      </c>
      <c r="H868" s="5" t="str">
        <f t="shared" si="1"/>
        <v>November 2016</v>
      </c>
      <c r="I868" s="6">
        <f t="shared" si="2"/>
        <v>42675</v>
      </c>
    </row>
    <row r="869">
      <c r="A869" s="4">
        <v>42705.0</v>
      </c>
      <c r="B869" s="3">
        <v>2016.0</v>
      </c>
      <c r="C869" s="3">
        <v>12.0</v>
      </c>
      <c r="D869" s="3" t="s">
        <v>11</v>
      </c>
      <c r="E869" s="3">
        <v>16.99</v>
      </c>
      <c r="F869" s="3">
        <v>21.19</v>
      </c>
      <c r="G869" s="3">
        <v>80.2</v>
      </c>
      <c r="H869" s="5" t="str">
        <f t="shared" si="1"/>
        <v>December 2016</v>
      </c>
      <c r="I869" s="6">
        <f t="shared" si="2"/>
        <v>42705</v>
      </c>
    </row>
    <row r="870">
      <c r="A870" s="2">
        <v>42736.0</v>
      </c>
      <c r="B870" s="3">
        <v>2017.0</v>
      </c>
      <c r="C870" s="3">
        <v>1.0</v>
      </c>
      <c r="D870" s="3" t="s">
        <v>11</v>
      </c>
      <c r="E870" s="3">
        <v>17.57</v>
      </c>
      <c r="F870" s="3">
        <v>21.11</v>
      </c>
      <c r="G870" s="3">
        <v>83.2</v>
      </c>
      <c r="H870" s="5" t="str">
        <f t="shared" si="1"/>
        <v>January 2017</v>
      </c>
      <c r="I870" s="6">
        <f t="shared" si="2"/>
        <v>42736</v>
      </c>
    </row>
    <row r="871">
      <c r="A871" s="2">
        <v>42767.0</v>
      </c>
      <c r="B871" s="3">
        <v>2017.0</v>
      </c>
      <c r="C871" s="3">
        <v>2.0</v>
      </c>
      <c r="D871" s="3" t="s">
        <v>11</v>
      </c>
      <c r="E871" s="3">
        <v>16.73</v>
      </c>
      <c r="F871" s="3">
        <v>20.63</v>
      </c>
      <c r="G871" s="3">
        <v>81.1</v>
      </c>
      <c r="H871" s="5" t="str">
        <f t="shared" si="1"/>
        <v>February 2017</v>
      </c>
      <c r="I871" s="6">
        <f t="shared" si="2"/>
        <v>42767</v>
      </c>
    </row>
    <row r="872">
      <c r="A872" s="2">
        <v>42795.0</v>
      </c>
      <c r="B872" s="3">
        <v>2017.0</v>
      </c>
      <c r="C872" s="3">
        <v>3.0</v>
      </c>
      <c r="D872" s="3" t="s">
        <v>11</v>
      </c>
      <c r="E872" s="3">
        <v>17.76</v>
      </c>
      <c r="F872" s="3">
        <v>22.24</v>
      </c>
      <c r="G872" s="3">
        <v>79.8</v>
      </c>
      <c r="H872" s="5" t="str">
        <f t="shared" si="1"/>
        <v>March 2017</v>
      </c>
      <c r="I872" s="6">
        <f t="shared" si="2"/>
        <v>42795</v>
      </c>
    </row>
    <row r="873">
      <c r="A873" s="2">
        <v>42826.0</v>
      </c>
      <c r="B873" s="3">
        <v>2017.0</v>
      </c>
      <c r="C873" s="3">
        <v>4.0</v>
      </c>
      <c r="D873" s="3" t="s">
        <v>11</v>
      </c>
      <c r="E873" s="3">
        <v>16.68</v>
      </c>
      <c r="F873" s="3">
        <v>20.58</v>
      </c>
      <c r="G873" s="3">
        <v>81.0</v>
      </c>
      <c r="H873" s="5" t="str">
        <f t="shared" si="1"/>
        <v>April 2017</v>
      </c>
      <c r="I873" s="6">
        <f t="shared" si="2"/>
        <v>42826</v>
      </c>
    </row>
    <row r="874">
      <c r="A874" s="2">
        <v>42856.0</v>
      </c>
      <c r="B874" s="3">
        <v>2017.0</v>
      </c>
      <c r="C874" s="3">
        <v>5.0</v>
      </c>
      <c r="D874" s="3" t="s">
        <v>11</v>
      </c>
      <c r="E874" s="3">
        <v>15.77</v>
      </c>
      <c r="F874" s="3">
        <v>18.73</v>
      </c>
      <c r="G874" s="3">
        <v>84.2</v>
      </c>
      <c r="H874" s="5" t="str">
        <f t="shared" si="1"/>
        <v>May 2017</v>
      </c>
      <c r="I874" s="6">
        <f t="shared" si="2"/>
        <v>42856</v>
      </c>
    </row>
    <row r="875">
      <c r="A875" s="2">
        <v>42887.0</v>
      </c>
      <c r="B875" s="3">
        <v>2017.0</v>
      </c>
      <c r="C875" s="3">
        <v>6.0</v>
      </c>
      <c r="D875" s="3" t="s">
        <v>11</v>
      </c>
      <c r="E875" s="3">
        <v>15.33</v>
      </c>
      <c r="F875" s="3">
        <v>18.29</v>
      </c>
      <c r="G875" s="3">
        <v>83.8</v>
      </c>
      <c r="H875" s="5" t="str">
        <f t="shared" si="1"/>
        <v>June 2017</v>
      </c>
      <c r="I875" s="6">
        <f t="shared" si="2"/>
        <v>42887</v>
      </c>
    </row>
    <row r="876">
      <c r="A876" s="2">
        <v>42917.0</v>
      </c>
      <c r="B876" s="3">
        <v>2017.0</v>
      </c>
      <c r="C876" s="3">
        <v>7.0</v>
      </c>
      <c r="D876" s="3" t="s">
        <v>11</v>
      </c>
      <c r="E876" s="3">
        <v>14.35</v>
      </c>
      <c r="F876" s="3">
        <v>17.03</v>
      </c>
      <c r="G876" s="3">
        <v>84.2</v>
      </c>
      <c r="H876" s="5" t="str">
        <f t="shared" si="1"/>
        <v>July 2017</v>
      </c>
      <c r="I876" s="6">
        <f t="shared" si="2"/>
        <v>42917</v>
      </c>
    </row>
    <row r="877">
      <c r="A877" s="2">
        <v>42948.0</v>
      </c>
      <c r="B877" s="3">
        <v>2017.0</v>
      </c>
      <c r="C877" s="3">
        <v>8.0</v>
      </c>
      <c r="D877" s="3" t="s">
        <v>11</v>
      </c>
      <c r="E877" s="3">
        <v>14.76</v>
      </c>
      <c r="F877" s="3">
        <v>17.89</v>
      </c>
      <c r="G877" s="3">
        <v>82.5</v>
      </c>
      <c r="H877" s="5" t="str">
        <f t="shared" si="1"/>
        <v>August 2017</v>
      </c>
      <c r="I877" s="6">
        <f t="shared" si="2"/>
        <v>42948</v>
      </c>
    </row>
    <row r="878">
      <c r="A878" s="2">
        <v>42979.0</v>
      </c>
      <c r="B878" s="3">
        <v>2017.0</v>
      </c>
      <c r="C878" s="3">
        <v>9.0</v>
      </c>
      <c r="D878" s="3" t="s">
        <v>11</v>
      </c>
      <c r="E878" s="3">
        <v>15.96</v>
      </c>
      <c r="F878" s="3">
        <v>19.23</v>
      </c>
      <c r="G878" s="3">
        <v>83.0</v>
      </c>
      <c r="H878" s="5" t="str">
        <f t="shared" si="1"/>
        <v>September 2017</v>
      </c>
      <c r="I878" s="6">
        <f t="shared" si="2"/>
        <v>42979</v>
      </c>
    </row>
    <row r="879">
      <c r="A879" s="4">
        <v>43009.0</v>
      </c>
      <c r="B879" s="3">
        <v>2017.0</v>
      </c>
      <c r="C879" s="3">
        <v>10.0</v>
      </c>
      <c r="D879" s="3" t="s">
        <v>11</v>
      </c>
      <c r="E879" s="3">
        <v>16.92</v>
      </c>
      <c r="F879" s="3">
        <v>21.07</v>
      </c>
      <c r="G879" s="3">
        <v>80.3</v>
      </c>
      <c r="H879" s="5" t="str">
        <f t="shared" si="1"/>
        <v>October 2017</v>
      </c>
      <c r="I879" s="6">
        <f t="shared" si="2"/>
        <v>43009</v>
      </c>
    </row>
    <row r="880">
      <c r="A880" s="4">
        <v>43040.0</v>
      </c>
      <c r="B880" s="3">
        <v>2017.0</v>
      </c>
      <c r="C880" s="3">
        <v>11.0</v>
      </c>
      <c r="D880" s="3" t="s">
        <v>11</v>
      </c>
      <c r="E880" s="3">
        <v>16.97</v>
      </c>
      <c r="F880" s="3">
        <v>20.27</v>
      </c>
      <c r="G880" s="3">
        <v>83.7</v>
      </c>
      <c r="H880" s="5" t="str">
        <f t="shared" si="1"/>
        <v>November 2017</v>
      </c>
      <c r="I880" s="6">
        <f t="shared" si="2"/>
        <v>43040</v>
      </c>
    </row>
    <row r="881">
      <c r="A881" s="4">
        <v>43070.0</v>
      </c>
      <c r="B881" s="3">
        <v>2017.0</v>
      </c>
      <c r="C881" s="3">
        <v>12.0</v>
      </c>
      <c r="D881" s="3" t="s">
        <v>11</v>
      </c>
      <c r="E881" s="3">
        <v>18.48</v>
      </c>
      <c r="F881" s="3">
        <v>21.93</v>
      </c>
      <c r="G881" s="3">
        <v>84.3</v>
      </c>
      <c r="H881" s="5" t="str">
        <f t="shared" si="1"/>
        <v>December 2017</v>
      </c>
      <c r="I881" s="6">
        <f t="shared" si="2"/>
        <v>43070</v>
      </c>
    </row>
    <row r="882">
      <c r="A882" s="2">
        <v>43101.0</v>
      </c>
      <c r="B882" s="3">
        <v>2018.0</v>
      </c>
      <c r="C882" s="3">
        <v>1.0</v>
      </c>
      <c r="D882" s="3" t="s">
        <v>11</v>
      </c>
      <c r="E882" s="3">
        <v>18.67</v>
      </c>
      <c r="F882" s="3">
        <v>23.58</v>
      </c>
      <c r="G882" s="3">
        <v>79.2</v>
      </c>
      <c r="H882" s="5" t="str">
        <f t="shared" si="1"/>
        <v>January 2018</v>
      </c>
      <c r="I882" s="6">
        <f t="shared" si="2"/>
        <v>43101</v>
      </c>
    </row>
    <row r="883">
      <c r="A883" s="2">
        <v>43132.0</v>
      </c>
      <c r="B883" s="3">
        <v>2018.0</v>
      </c>
      <c r="C883" s="3">
        <v>2.0</v>
      </c>
      <c r="D883" s="3" t="s">
        <v>11</v>
      </c>
      <c r="E883" s="3">
        <v>19.11</v>
      </c>
      <c r="F883" s="3">
        <v>23.52</v>
      </c>
      <c r="G883" s="3">
        <v>81.3</v>
      </c>
      <c r="H883" s="5" t="str">
        <f t="shared" si="1"/>
        <v>February 2018</v>
      </c>
      <c r="I883" s="6">
        <f t="shared" si="2"/>
        <v>43132</v>
      </c>
    </row>
    <row r="884">
      <c r="A884" s="2">
        <v>43160.0</v>
      </c>
      <c r="B884" s="3">
        <v>2018.0</v>
      </c>
      <c r="C884" s="3">
        <v>3.0</v>
      </c>
      <c r="D884" s="3" t="s">
        <v>11</v>
      </c>
      <c r="E884" s="3">
        <v>18.21</v>
      </c>
      <c r="F884" s="3">
        <v>22.56</v>
      </c>
      <c r="G884" s="3">
        <v>80.7</v>
      </c>
      <c r="H884" s="5" t="str">
        <f t="shared" si="1"/>
        <v>March 2018</v>
      </c>
      <c r="I884" s="6">
        <f t="shared" si="2"/>
        <v>43160</v>
      </c>
    </row>
    <row r="885">
      <c r="A885" s="2">
        <v>43191.0</v>
      </c>
      <c r="B885" s="3">
        <v>2018.0</v>
      </c>
      <c r="C885" s="3">
        <v>4.0</v>
      </c>
      <c r="D885" s="3" t="s">
        <v>11</v>
      </c>
      <c r="E885" s="3">
        <v>18.12</v>
      </c>
      <c r="F885" s="3">
        <v>22.58</v>
      </c>
      <c r="G885" s="3">
        <v>80.2</v>
      </c>
      <c r="H885" s="5" t="str">
        <f t="shared" si="1"/>
        <v>April 2018</v>
      </c>
      <c r="I885" s="6">
        <f t="shared" si="2"/>
        <v>43191</v>
      </c>
    </row>
    <row r="886">
      <c r="A886" s="2">
        <v>43221.0</v>
      </c>
      <c r="B886" s="3">
        <v>2018.0</v>
      </c>
      <c r="C886" s="3">
        <v>5.0</v>
      </c>
      <c r="D886" s="3" t="s">
        <v>11</v>
      </c>
      <c r="E886" s="3">
        <v>16.3</v>
      </c>
      <c r="F886" s="3">
        <v>19.83</v>
      </c>
      <c r="G886" s="3">
        <v>82.2</v>
      </c>
      <c r="H886" s="5" t="str">
        <f t="shared" si="1"/>
        <v>May 2018</v>
      </c>
      <c r="I886" s="6">
        <f t="shared" si="2"/>
        <v>43221</v>
      </c>
    </row>
    <row r="887">
      <c r="A887" s="2">
        <v>43252.0</v>
      </c>
      <c r="B887" s="3">
        <v>2018.0</v>
      </c>
      <c r="C887" s="3">
        <v>6.0</v>
      </c>
      <c r="D887" s="3" t="s">
        <v>11</v>
      </c>
      <c r="E887" s="3">
        <v>15.4</v>
      </c>
      <c r="F887" s="3">
        <v>18.62</v>
      </c>
      <c r="G887" s="3">
        <v>82.7</v>
      </c>
      <c r="H887" s="5" t="str">
        <f t="shared" si="1"/>
        <v>June 2018</v>
      </c>
      <c r="I887" s="6">
        <f t="shared" si="2"/>
        <v>43252</v>
      </c>
    </row>
    <row r="888">
      <c r="A888" s="2">
        <v>43282.0</v>
      </c>
      <c r="B888" s="3">
        <v>2018.0</v>
      </c>
      <c r="C888" s="3">
        <v>7.0</v>
      </c>
      <c r="D888" s="3" t="s">
        <v>11</v>
      </c>
      <c r="E888" s="3">
        <v>16.53</v>
      </c>
      <c r="F888" s="3">
        <v>20.4</v>
      </c>
      <c r="G888" s="3">
        <v>81.0</v>
      </c>
      <c r="H888" s="5" t="str">
        <f t="shared" si="1"/>
        <v>July 2018</v>
      </c>
      <c r="I888" s="6">
        <f t="shared" si="2"/>
        <v>43282</v>
      </c>
    </row>
    <row r="889">
      <c r="A889" s="2">
        <v>43313.0</v>
      </c>
      <c r="B889" s="3">
        <v>2018.0</v>
      </c>
      <c r="C889" s="3">
        <v>8.0</v>
      </c>
      <c r="D889" s="3" t="s">
        <v>11</v>
      </c>
      <c r="E889" s="3">
        <v>16.25</v>
      </c>
      <c r="F889" s="3">
        <v>21.24</v>
      </c>
      <c r="G889" s="3">
        <v>76.5</v>
      </c>
      <c r="H889" s="5" t="str">
        <f t="shared" si="1"/>
        <v>August 2018</v>
      </c>
      <c r="I889" s="6">
        <f t="shared" si="2"/>
        <v>43313</v>
      </c>
    </row>
    <row r="890">
      <c r="A890" s="2">
        <v>43344.0</v>
      </c>
      <c r="B890" s="3">
        <v>2018.0</v>
      </c>
      <c r="C890" s="3">
        <v>9.0</v>
      </c>
      <c r="D890" s="3" t="s">
        <v>11</v>
      </c>
      <c r="E890" s="3">
        <v>16.76</v>
      </c>
      <c r="F890" s="3">
        <v>20.6</v>
      </c>
      <c r="G890" s="3">
        <v>81.4</v>
      </c>
      <c r="H890" s="5" t="str">
        <f t="shared" si="1"/>
        <v>September 2018</v>
      </c>
      <c r="I890" s="6">
        <f t="shared" si="2"/>
        <v>43344</v>
      </c>
    </row>
    <row r="891">
      <c r="A891" s="4">
        <v>43374.0</v>
      </c>
      <c r="B891" s="3">
        <v>2018.0</v>
      </c>
      <c r="C891" s="3">
        <v>10.0</v>
      </c>
      <c r="D891" s="3" t="s">
        <v>11</v>
      </c>
      <c r="E891" s="3">
        <v>17.32</v>
      </c>
      <c r="F891" s="3">
        <v>20.58</v>
      </c>
      <c r="G891" s="3">
        <v>84.2</v>
      </c>
      <c r="H891" s="5" t="str">
        <f t="shared" si="1"/>
        <v>October 2018</v>
      </c>
      <c r="I891" s="6">
        <f t="shared" si="2"/>
        <v>43374</v>
      </c>
    </row>
    <row r="892">
      <c r="A892" s="4">
        <v>43405.0</v>
      </c>
      <c r="B892" s="3">
        <v>2018.0</v>
      </c>
      <c r="C892" s="3">
        <v>11.0</v>
      </c>
      <c r="D892" s="3" t="s">
        <v>11</v>
      </c>
      <c r="E892" s="3">
        <v>18.54</v>
      </c>
      <c r="F892" s="3">
        <v>22.71</v>
      </c>
      <c r="G892" s="3">
        <v>81.6</v>
      </c>
      <c r="H892" s="5" t="str">
        <f t="shared" si="1"/>
        <v>November 2018</v>
      </c>
      <c r="I892" s="6">
        <f t="shared" si="2"/>
        <v>43405</v>
      </c>
    </row>
    <row r="893">
      <c r="A893" s="4">
        <v>43435.0</v>
      </c>
      <c r="B893" s="3">
        <v>2018.0</v>
      </c>
      <c r="C893" s="3">
        <v>12.0</v>
      </c>
      <c r="D893" s="3" t="s">
        <v>11</v>
      </c>
      <c r="E893" s="3">
        <v>19.25</v>
      </c>
      <c r="F893" s="3">
        <v>24.63</v>
      </c>
      <c r="G893" s="3">
        <v>78.2</v>
      </c>
      <c r="H893" s="5" t="str">
        <f t="shared" si="1"/>
        <v>December 2018</v>
      </c>
      <c r="I893" s="6">
        <f t="shared" si="2"/>
        <v>43435</v>
      </c>
    </row>
    <row r="894">
      <c r="A894" s="2">
        <v>43466.0</v>
      </c>
      <c r="B894" s="3">
        <v>2019.0</v>
      </c>
      <c r="C894" s="3">
        <v>1.0</v>
      </c>
      <c r="D894" s="3" t="s">
        <v>11</v>
      </c>
      <c r="E894" s="3">
        <v>19.14</v>
      </c>
      <c r="F894" s="3">
        <v>22.81</v>
      </c>
      <c r="G894" s="3">
        <v>83.9</v>
      </c>
      <c r="H894" s="5" t="str">
        <f t="shared" si="1"/>
        <v>January 2019</v>
      </c>
      <c r="I894" s="6">
        <f t="shared" si="2"/>
        <v>43466</v>
      </c>
    </row>
    <row r="895">
      <c r="A895" s="2">
        <v>43497.0</v>
      </c>
      <c r="B895" s="3">
        <v>2019.0</v>
      </c>
      <c r="C895" s="3">
        <v>2.0</v>
      </c>
      <c r="D895" s="3" t="s">
        <v>11</v>
      </c>
      <c r="E895" s="3">
        <v>17.42</v>
      </c>
      <c r="F895" s="3">
        <v>21.65</v>
      </c>
      <c r="G895" s="3">
        <v>80.5</v>
      </c>
      <c r="H895" s="5" t="str">
        <f t="shared" si="1"/>
        <v>February 2019</v>
      </c>
      <c r="I895" s="6">
        <f t="shared" si="2"/>
        <v>43497</v>
      </c>
    </row>
    <row r="896">
      <c r="A896" s="2">
        <v>43525.0</v>
      </c>
      <c r="B896" s="3">
        <v>2019.0</v>
      </c>
      <c r="C896" s="3">
        <v>3.0</v>
      </c>
      <c r="D896" s="3" t="s">
        <v>11</v>
      </c>
      <c r="E896" s="3">
        <v>16.77</v>
      </c>
      <c r="F896" s="3">
        <v>19.62</v>
      </c>
      <c r="G896" s="3">
        <v>85.5</v>
      </c>
      <c r="H896" s="5" t="str">
        <f t="shared" si="1"/>
        <v>March 2019</v>
      </c>
      <c r="I896" s="6">
        <f t="shared" si="2"/>
        <v>43525</v>
      </c>
    </row>
    <row r="897">
      <c r="A897" s="2">
        <v>43556.0</v>
      </c>
      <c r="B897" s="3">
        <v>2019.0</v>
      </c>
      <c r="C897" s="3">
        <v>4.0</v>
      </c>
      <c r="D897" s="3" t="s">
        <v>11</v>
      </c>
      <c r="E897" s="3">
        <v>15.61</v>
      </c>
      <c r="F897" s="3">
        <v>19.29</v>
      </c>
      <c r="G897" s="3">
        <v>80.9</v>
      </c>
      <c r="H897" s="5" t="str">
        <f t="shared" si="1"/>
        <v>April 2019</v>
      </c>
      <c r="I897" s="6">
        <f t="shared" si="2"/>
        <v>43556</v>
      </c>
    </row>
    <row r="898">
      <c r="A898" s="2">
        <v>43586.0</v>
      </c>
      <c r="B898" s="3">
        <v>2019.0</v>
      </c>
      <c r="C898" s="3">
        <v>5.0</v>
      </c>
      <c r="D898" s="3" t="s">
        <v>11</v>
      </c>
      <c r="E898" s="3">
        <v>14.16</v>
      </c>
      <c r="F898" s="3">
        <v>17.59</v>
      </c>
      <c r="G898" s="3">
        <v>80.5</v>
      </c>
      <c r="H898" s="5" t="str">
        <f t="shared" si="1"/>
        <v>May 2019</v>
      </c>
      <c r="I898" s="6">
        <f t="shared" si="2"/>
        <v>43586</v>
      </c>
    </row>
    <row r="899">
      <c r="A899" s="2">
        <v>43617.0</v>
      </c>
      <c r="B899" s="3">
        <v>2019.0</v>
      </c>
      <c r="C899" s="3">
        <v>6.0</v>
      </c>
      <c r="D899" s="3" t="s">
        <v>11</v>
      </c>
      <c r="E899" s="3">
        <v>12.63</v>
      </c>
      <c r="F899" s="3">
        <v>15.93</v>
      </c>
      <c r="G899" s="3">
        <v>79.3</v>
      </c>
      <c r="H899" s="5" t="str">
        <f t="shared" si="1"/>
        <v>June 2019</v>
      </c>
      <c r="I899" s="6">
        <f t="shared" si="2"/>
        <v>43617</v>
      </c>
    </row>
    <row r="900">
      <c r="A900" s="2">
        <v>43647.0</v>
      </c>
      <c r="B900" s="3">
        <v>2019.0</v>
      </c>
      <c r="C900" s="3">
        <v>7.0</v>
      </c>
      <c r="D900" s="3" t="s">
        <v>11</v>
      </c>
      <c r="E900" s="3">
        <v>11.62</v>
      </c>
      <c r="F900" s="3">
        <v>14.31</v>
      </c>
      <c r="G900" s="3">
        <v>81.2</v>
      </c>
      <c r="H900" s="5" t="str">
        <f t="shared" si="1"/>
        <v>July 2019</v>
      </c>
      <c r="I900" s="6">
        <f t="shared" si="2"/>
        <v>43647</v>
      </c>
    </row>
    <row r="901">
      <c r="A901" s="2">
        <v>43678.0</v>
      </c>
      <c r="B901" s="3">
        <v>2019.0</v>
      </c>
      <c r="C901" s="3">
        <v>8.0</v>
      </c>
      <c r="D901" s="3" t="s">
        <v>11</v>
      </c>
      <c r="E901" s="3">
        <v>10.26</v>
      </c>
      <c r="F901" s="3">
        <v>12.58</v>
      </c>
      <c r="G901" s="3">
        <v>81.6</v>
      </c>
      <c r="H901" s="5" t="str">
        <f t="shared" si="1"/>
        <v>August 2019</v>
      </c>
      <c r="I901" s="6">
        <f t="shared" si="2"/>
        <v>43678</v>
      </c>
    </row>
    <row r="902">
      <c r="A902" s="2">
        <v>43709.0</v>
      </c>
      <c r="B902" s="3">
        <v>2019.0</v>
      </c>
      <c r="C902" s="3">
        <v>9.0</v>
      </c>
      <c r="D902" s="3" t="s">
        <v>11</v>
      </c>
      <c r="E902" s="3">
        <v>10.22</v>
      </c>
      <c r="F902" s="3">
        <v>12.61</v>
      </c>
      <c r="G902" s="3">
        <v>81.0</v>
      </c>
      <c r="H902" s="5" t="str">
        <f t="shared" si="1"/>
        <v>September 2019</v>
      </c>
      <c r="I902" s="6">
        <f t="shared" si="2"/>
        <v>43709</v>
      </c>
    </row>
    <row r="903">
      <c r="A903" s="4">
        <v>43739.0</v>
      </c>
      <c r="B903" s="3">
        <v>2019.0</v>
      </c>
      <c r="C903" s="3">
        <v>10.0</v>
      </c>
      <c r="D903" s="3" t="s">
        <v>11</v>
      </c>
      <c r="E903" s="3">
        <v>9.91</v>
      </c>
      <c r="F903" s="3">
        <v>12.26</v>
      </c>
      <c r="G903" s="3">
        <v>80.8</v>
      </c>
      <c r="H903" s="5" t="str">
        <f t="shared" si="1"/>
        <v>October 2019</v>
      </c>
      <c r="I903" s="6">
        <f t="shared" si="2"/>
        <v>43739</v>
      </c>
    </row>
    <row r="904">
      <c r="A904" s="4">
        <v>43770.0</v>
      </c>
      <c r="B904" s="3">
        <v>2019.0</v>
      </c>
      <c r="C904" s="3">
        <v>11.0</v>
      </c>
      <c r="D904" s="3" t="s">
        <v>11</v>
      </c>
      <c r="E904" s="3">
        <v>9.45</v>
      </c>
      <c r="F904" s="3">
        <v>11.4</v>
      </c>
      <c r="G904" s="3">
        <v>82.9</v>
      </c>
      <c r="H904" s="5" t="str">
        <f t="shared" si="1"/>
        <v>November 2019</v>
      </c>
      <c r="I904" s="6">
        <f t="shared" si="2"/>
        <v>43770</v>
      </c>
    </row>
    <row r="905">
      <c r="A905" s="4">
        <v>43800.0</v>
      </c>
      <c r="B905" s="3">
        <v>2019.0</v>
      </c>
      <c r="C905" s="3">
        <v>12.0</v>
      </c>
      <c r="D905" s="3" t="s">
        <v>11</v>
      </c>
      <c r="E905" s="3">
        <v>8.59</v>
      </c>
      <c r="F905" s="3">
        <v>10.59</v>
      </c>
      <c r="G905" s="3">
        <v>81.1</v>
      </c>
      <c r="H905" s="5" t="str">
        <f t="shared" si="1"/>
        <v>December 2019</v>
      </c>
      <c r="I905" s="6">
        <f t="shared" si="2"/>
        <v>43800</v>
      </c>
    </row>
    <row r="906">
      <c r="A906" s="2">
        <v>43831.0</v>
      </c>
      <c r="B906" s="3">
        <v>2020.0</v>
      </c>
      <c r="C906" s="3">
        <v>1.0</v>
      </c>
      <c r="D906" s="3" t="s">
        <v>11</v>
      </c>
      <c r="E906" s="3">
        <v>7.74</v>
      </c>
      <c r="F906" s="3">
        <v>9.31</v>
      </c>
      <c r="G906" s="3">
        <v>83.1</v>
      </c>
      <c r="H906" s="5" t="str">
        <f t="shared" si="1"/>
        <v>January 2020</v>
      </c>
      <c r="I906" s="6">
        <f t="shared" si="2"/>
        <v>43831</v>
      </c>
    </row>
    <row r="907">
      <c r="A907" s="2">
        <v>43862.0</v>
      </c>
      <c r="B907" s="3">
        <v>2020.0</v>
      </c>
      <c r="C907" s="3">
        <v>2.0</v>
      </c>
      <c r="D907" s="3" t="s">
        <v>11</v>
      </c>
      <c r="E907" s="3">
        <v>8.38</v>
      </c>
      <c r="F907" s="3">
        <v>9.99</v>
      </c>
      <c r="G907" s="3">
        <v>83.9</v>
      </c>
      <c r="H907" s="5" t="str">
        <f t="shared" si="1"/>
        <v>February 2020</v>
      </c>
      <c r="I907" s="6">
        <f t="shared" si="2"/>
        <v>43862</v>
      </c>
    </row>
    <row r="908">
      <c r="A908" s="2">
        <v>43891.0</v>
      </c>
      <c r="B908" s="3">
        <v>2020.0</v>
      </c>
      <c r="C908" s="3">
        <v>3.0</v>
      </c>
      <c r="D908" s="3" t="s">
        <v>11</v>
      </c>
      <c r="E908" s="3">
        <v>1.22</v>
      </c>
      <c r="F908" s="3">
        <v>2.21</v>
      </c>
      <c r="G908" s="3">
        <v>55.0</v>
      </c>
      <c r="H908" s="5" t="str">
        <f t="shared" si="1"/>
        <v>March 2020</v>
      </c>
      <c r="I908" s="6">
        <f t="shared" si="2"/>
        <v>43891</v>
      </c>
    </row>
    <row r="909">
      <c r="A909" s="2">
        <v>43922.0</v>
      </c>
      <c r="B909" s="3">
        <v>2020.0</v>
      </c>
      <c r="C909" s="3">
        <v>4.0</v>
      </c>
      <c r="D909" s="3" t="s">
        <v>11</v>
      </c>
      <c r="E909" s="3">
        <v>1.18</v>
      </c>
      <c r="F909" s="3">
        <v>2.15</v>
      </c>
      <c r="G909" s="3">
        <v>55.0</v>
      </c>
      <c r="H909" s="5" t="str">
        <f t="shared" si="1"/>
        <v>April 2020</v>
      </c>
      <c r="I909" s="6">
        <f t="shared" si="2"/>
        <v>43922</v>
      </c>
    </row>
    <row r="910">
      <c r="A910" s="2">
        <v>43952.0</v>
      </c>
      <c r="B910" s="3">
        <v>2020.0</v>
      </c>
      <c r="C910" s="3">
        <v>5.0</v>
      </c>
      <c r="D910" s="3" t="s">
        <v>11</v>
      </c>
      <c r="E910" s="3">
        <v>1.16</v>
      </c>
      <c r="F910" s="3">
        <v>2.12</v>
      </c>
      <c r="G910" s="3">
        <v>55.0</v>
      </c>
      <c r="H910" s="5" t="str">
        <f t="shared" si="1"/>
        <v>May 2020</v>
      </c>
      <c r="I910" s="6">
        <f t="shared" si="2"/>
        <v>43952</v>
      </c>
    </row>
    <row r="911">
      <c r="A911" s="2">
        <v>43983.0</v>
      </c>
      <c r="B911" s="3">
        <v>2020.0</v>
      </c>
      <c r="C911" s="3">
        <v>6.0</v>
      </c>
      <c r="D911" s="3" t="s">
        <v>11</v>
      </c>
      <c r="E911" s="3">
        <v>1.12</v>
      </c>
      <c r="F911" s="3">
        <v>2.03</v>
      </c>
      <c r="G911" s="3">
        <v>55.0</v>
      </c>
      <c r="H911" s="5" t="str">
        <f t="shared" si="1"/>
        <v>June 2020</v>
      </c>
      <c r="I911" s="6">
        <f t="shared" si="2"/>
        <v>43983</v>
      </c>
    </row>
    <row r="912">
      <c r="A912" s="2">
        <v>44013.0</v>
      </c>
      <c r="B912" s="3">
        <v>2020.0</v>
      </c>
      <c r="C912" s="3">
        <v>7.0</v>
      </c>
      <c r="D912" s="3" t="s">
        <v>11</v>
      </c>
      <c r="E912" s="3">
        <v>7.8</v>
      </c>
      <c r="F912" s="3">
        <v>14.18</v>
      </c>
      <c r="G912" s="3">
        <v>55.0</v>
      </c>
      <c r="H912" s="5" t="str">
        <f t="shared" si="1"/>
        <v>July 2020</v>
      </c>
      <c r="I912" s="6">
        <f t="shared" si="2"/>
        <v>44013</v>
      </c>
    </row>
    <row r="913">
      <c r="A913" s="2">
        <v>44044.0</v>
      </c>
      <c r="B913" s="3">
        <v>2020.0</v>
      </c>
      <c r="C913" s="3">
        <v>8.0</v>
      </c>
      <c r="D913" s="3" t="s">
        <v>11</v>
      </c>
      <c r="E913" s="3">
        <v>2.81</v>
      </c>
      <c r="F913" s="3">
        <v>5.11</v>
      </c>
      <c r="G913" s="3">
        <v>55.0</v>
      </c>
      <c r="H913" s="5" t="str">
        <f t="shared" si="1"/>
        <v>August 2020</v>
      </c>
      <c r="I913" s="6">
        <f t="shared" si="2"/>
        <v>44044</v>
      </c>
    </row>
    <row r="914">
      <c r="A914" s="2">
        <v>44075.0</v>
      </c>
      <c r="B914" s="3">
        <v>2020.0</v>
      </c>
      <c r="C914" s="3">
        <v>9.0</v>
      </c>
      <c r="D914" s="3" t="s">
        <v>11</v>
      </c>
      <c r="E914" s="3">
        <v>3.07</v>
      </c>
      <c r="F914" s="3">
        <v>5.58</v>
      </c>
      <c r="G914" s="3">
        <v>55.0</v>
      </c>
      <c r="H914" s="5" t="str">
        <f t="shared" si="1"/>
        <v>September 2020</v>
      </c>
      <c r="I914" s="6">
        <f t="shared" si="2"/>
        <v>44075</v>
      </c>
    </row>
    <row r="915">
      <c r="A915" s="4">
        <v>44105.0</v>
      </c>
      <c r="B915" s="3">
        <v>2020.0</v>
      </c>
      <c r="C915" s="3">
        <v>10.0</v>
      </c>
      <c r="D915" s="3" t="s">
        <v>11</v>
      </c>
      <c r="E915" s="3">
        <v>3.17</v>
      </c>
      <c r="F915" s="3">
        <v>5.77</v>
      </c>
      <c r="G915" s="3">
        <v>55.0</v>
      </c>
      <c r="H915" s="5" t="str">
        <f t="shared" si="1"/>
        <v>October 2020</v>
      </c>
      <c r="I915" s="6">
        <f t="shared" si="2"/>
        <v>44105</v>
      </c>
    </row>
    <row r="916">
      <c r="A916" s="4">
        <v>44136.0</v>
      </c>
      <c r="B916" s="3">
        <v>2020.0</v>
      </c>
      <c r="C916" s="3">
        <v>11.0</v>
      </c>
      <c r="D916" s="3" t="s">
        <v>11</v>
      </c>
      <c r="E916" s="3">
        <v>3.57</v>
      </c>
      <c r="F916" s="3">
        <v>6.5</v>
      </c>
      <c r="G916" s="3">
        <v>55.0</v>
      </c>
      <c r="H916" s="5" t="str">
        <f t="shared" si="1"/>
        <v>November 2020</v>
      </c>
      <c r="I916" s="6">
        <f t="shared" si="2"/>
        <v>44136</v>
      </c>
    </row>
    <row r="917">
      <c r="A917" s="4">
        <v>44166.0</v>
      </c>
      <c r="B917" s="3">
        <v>2020.0</v>
      </c>
      <c r="C917" s="3">
        <v>12.0</v>
      </c>
      <c r="D917" s="3" t="s">
        <v>11</v>
      </c>
      <c r="E917" s="3">
        <v>3.67</v>
      </c>
      <c r="F917" s="3">
        <v>6.68</v>
      </c>
      <c r="G917" s="3">
        <v>55.0</v>
      </c>
      <c r="H917" s="5" t="str">
        <f t="shared" si="1"/>
        <v>December 2020</v>
      </c>
      <c r="I917" s="6">
        <f t="shared" si="2"/>
        <v>44166</v>
      </c>
    </row>
    <row r="918">
      <c r="A918" s="2">
        <v>44197.0</v>
      </c>
      <c r="B918" s="3">
        <v>2021.0</v>
      </c>
      <c r="C918" s="3">
        <v>1.0</v>
      </c>
      <c r="D918" s="3" t="s">
        <v>11</v>
      </c>
      <c r="E918" s="3">
        <v>11.26</v>
      </c>
      <c r="F918" s="3">
        <v>13.43</v>
      </c>
      <c r="G918" s="3">
        <v>83.8</v>
      </c>
      <c r="H918" s="5" t="str">
        <f t="shared" si="1"/>
        <v>January 2021</v>
      </c>
      <c r="I918" s="6">
        <f t="shared" si="2"/>
        <v>44197</v>
      </c>
    </row>
    <row r="919">
      <c r="A919" s="2">
        <v>44228.0</v>
      </c>
      <c r="B919" s="3">
        <v>2021.0</v>
      </c>
      <c r="C919" s="3">
        <v>2.0</v>
      </c>
      <c r="D919" s="3" t="s">
        <v>11</v>
      </c>
      <c r="E919" s="3">
        <v>5.05</v>
      </c>
      <c r="F919" s="3">
        <v>6.08</v>
      </c>
      <c r="G919" s="3">
        <v>83.2</v>
      </c>
      <c r="H919" s="5" t="str">
        <f t="shared" si="1"/>
        <v>February 2021</v>
      </c>
      <c r="I919" s="6">
        <f t="shared" si="2"/>
        <v>44228</v>
      </c>
    </row>
    <row r="920">
      <c r="A920" s="2">
        <v>44256.0</v>
      </c>
      <c r="B920" s="3">
        <v>2021.0</v>
      </c>
      <c r="C920" s="3">
        <v>3.0</v>
      </c>
      <c r="D920" s="3" t="s">
        <v>11</v>
      </c>
      <c r="E920" s="3">
        <v>4.97</v>
      </c>
      <c r="F920" s="3">
        <v>6.16</v>
      </c>
      <c r="G920" s="3">
        <v>80.7</v>
      </c>
      <c r="H920" s="5" t="str">
        <f t="shared" si="1"/>
        <v>March 2021</v>
      </c>
      <c r="I920" s="6">
        <f t="shared" si="2"/>
        <v>44256</v>
      </c>
    </row>
    <row r="921">
      <c r="A921" s="2">
        <v>44287.0</v>
      </c>
      <c r="B921" s="3">
        <v>2021.0</v>
      </c>
      <c r="C921" s="3">
        <v>4.0</v>
      </c>
      <c r="D921" s="3" t="s">
        <v>11</v>
      </c>
      <c r="E921" s="3">
        <v>4.8</v>
      </c>
      <c r="F921" s="3">
        <v>5.85</v>
      </c>
      <c r="G921" s="3">
        <v>82.0</v>
      </c>
      <c r="H921" s="5" t="str">
        <f t="shared" si="1"/>
        <v>April 2021</v>
      </c>
      <c r="I921" s="6">
        <f t="shared" si="2"/>
        <v>44287</v>
      </c>
    </row>
    <row r="922">
      <c r="A922" s="2">
        <v>44317.0</v>
      </c>
      <c r="B922" s="3">
        <v>2021.0</v>
      </c>
      <c r="C922" s="3">
        <v>5.0</v>
      </c>
      <c r="D922" s="3" t="s">
        <v>11</v>
      </c>
      <c r="E922" s="3">
        <v>4.7</v>
      </c>
      <c r="F922" s="3">
        <v>6.0</v>
      </c>
      <c r="G922" s="3">
        <v>78.2</v>
      </c>
      <c r="H922" s="5" t="str">
        <f t="shared" si="1"/>
        <v>May 2021</v>
      </c>
      <c r="I922" s="6">
        <f t="shared" si="2"/>
        <v>44317</v>
      </c>
    </row>
    <row r="923">
      <c r="A923" s="2">
        <v>44348.0</v>
      </c>
      <c r="B923" s="3">
        <v>2021.0</v>
      </c>
      <c r="C923" s="3">
        <v>6.0</v>
      </c>
      <c r="D923" s="3" t="s">
        <v>11</v>
      </c>
      <c r="E923" s="3">
        <v>4.57</v>
      </c>
      <c r="F923" s="3">
        <v>5.56</v>
      </c>
      <c r="G923" s="3">
        <v>82.1</v>
      </c>
      <c r="H923" s="5" t="str">
        <f t="shared" si="1"/>
        <v>June 2021</v>
      </c>
      <c r="I923" s="6">
        <f t="shared" si="2"/>
        <v>44348</v>
      </c>
    </row>
    <row r="924">
      <c r="A924" s="2">
        <v>44378.0</v>
      </c>
      <c r="B924" s="3">
        <v>2021.0</v>
      </c>
      <c r="C924" s="3">
        <v>7.0</v>
      </c>
      <c r="D924" s="3" t="s">
        <v>11</v>
      </c>
      <c r="E924" s="3">
        <v>10.26</v>
      </c>
      <c r="F924" s="3">
        <v>12.59</v>
      </c>
      <c r="G924" s="3">
        <v>81.5</v>
      </c>
      <c r="H924" s="5" t="str">
        <f t="shared" si="1"/>
        <v>July 2021</v>
      </c>
      <c r="I924" s="6">
        <f t="shared" si="2"/>
        <v>44378</v>
      </c>
    </row>
    <row r="925">
      <c r="A925" s="2">
        <v>44409.0</v>
      </c>
      <c r="B925" s="3">
        <v>2021.0</v>
      </c>
      <c r="C925" s="3">
        <v>8.0</v>
      </c>
      <c r="D925" s="3" t="s">
        <v>11</v>
      </c>
      <c r="E925" s="3">
        <v>7.08</v>
      </c>
      <c r="F925" s="3">
        <v>8.87</v>
      </c>
      <c r="G925" s="3">
        <v>79.8</v>
      </c>
      <c r="H925" s="5" t="str">
        <f t="shared" si="1"/>
        <v>August 2021</v>
      </c>
      <c r="I925" s="6">
        <f t="shared" si="2"/>
        <v>44409</v>
      </c>
    </row>
    <row r="926">
      <c r="A926" s="2">
        <v>44440.0</v>
      </c>
      <c r="B926" s="3">
        <v>2021.0</v>
      </c>
      <c r="C926" s="3">
        <v>9.0</v>
      </c>
      <c r="D926" s="3" t="s">
        <v>11</v>
      </c>
      <c r="E926" s="3">
        <v>7.06</v>
      </c>
      <c r="F926" s="3">
        <v>8.68</v>
      </c>
      <c r="G926" s="3">
        <v>81.3</v>
      </c>
      <c r="H926" s="5" t="str">
        <f t="shared" si="1"/>
        <v>September 2021</v>
      </c>
      <c r="I926" s="6">
        <f t="shared" si="2"/>
        <v>44440</v>
      </c>
    </row>
    <row r="927">
      <c r="A927" s="4">
        <v>44470.0</v>
      </c>
      <c r="B927" s="3">
        <v>2021.0</v>
      </c>
      <c r="C927" s="3">
        <v>10.0</v>
      </c>
      <c r="D927" s="3" t="s">
        <v>11</v>
      </c>
      <c r="E927" s="3">
        <v>8.15</v>
      </c>
      <c r="F927" s="3">
        <v>9.54</v>
      </c>
      <c r="G927" s="3">
        <v>85.4</v>
      </c>
      <c r="H927" s="5" t="str">
        <f t="shared" si="1"/>
        <v>October 2021</v>
      </c>
      <c r="I927" s="6">
        <f t="shared" si="2"/>
        <v>44470</v>
      </c>
    </row>
    <row r="928">
      <c r="A928" s="4">
        <v>44501.0</v>
      </c>
      <c r="B928" s="3">
        <v>2021.0</v>
      </c>
      <c r="C928" s="3">
        <v>11.0</v>
      </c>
      <c r="D928" s="3" t="s">
        <v>11</v>
      </c>
      <c r="E928" s="3">
        <v>8.73</v>
      </c>
      <c r="F928" s="3">
        <v>11.05</v>
      </c>
      <c r="G928" s="3">
        <v>79.1</v>
      </c>
      <c r="H928" s="5" t="str">
        <f t="shared" si="1"/>
        <v>November 2021</v>
      </c>
      <c r="I928" s="6">
        <f t="shared" si="2"/>
        <v>44501</v>
      </c>
    </row>
    <row r="929">
      <c r="A929" s="4">
        <v>44531.0</v>
      </c>
      <c r="B929" s="3">
        <v>2021.0</v>
      </c>
      <c r="C929" s="3">
        <v>12.0</v>
      </c>
      <c r="D929" s="3" t="s">
        <v>11</v>
      </c>
      <c r="E929" s="3">
        <v>8.94</v>
      </c>
      <c r="F929" s="3">
        <v>10.84</v>
      </c>
      <c r="G929" s="3">
        <v>82.5</v>
      </c>
      <c r="H929" s="5" t="str">
        <f t="shared" si="1"/>
        <v>December 2021</v>
      </c>
      <c r="I929" s="6">
        <f t="shared" si="2"/>
        <v>44531</v>
      </c>
    </row>
    <row r="930">
      <c r="A930" s="2">
        <v>44562.0</v>
      </c>
      <c r="B930" s="3">
        <v>2022.0</v>
      </c>
      <c r="C930" s="3">
        <v>1.0</v>
      </c>
      <c r="D930" s="3" t="s">
        <v>11</v>
      </c>
      <c r="E930" s="3">
        <v>14.38</v>
      </c>
      <c r="F930" s="3">
        <v>17.3</v>
      </c>
      <c r="G930" s="3">
        <v>83.1</v>
      </c>
      <c r="H930" s="5" t="str">
        <f t="shared" si="1"/>
        <v>January 2022</v>
      </c>
      <c r="I930" s="6">
        <f t="shared" si="2"/>
        <v>44562</v>
      </c>
    </row>
    <row r="931">
      <c r="A931" s="2">
        <v>44593.0</v>
      </c>
      <c r="B931" s="3">
        <v>2022.0</v>
      </c>
      <c r="C931" s="3">
        <v>2.0</v>
      </c>
      <c r="D931" s="3" t="s">
        <v>11</v>
      </c>
      <c r="E931" s="3">
        <v>13.92</v>
      </c>
      <c r="F931" s="3">
        <v>16.95</v>
      </c>
      <c r="G931" s="3">
        <v>82.1</v>
      </c>
      <c r="H931" s="5" t="str">
        <f t="shared" si="1"/>
        <v>February 2022</v>
      </c>
      <c r="I931" s="6">
        <f t="shared" si="2"/>
        <v>44593</v>
      </c>
    </row>
    <row r="932">
      <c r="A932" s="2">
        <v>44621.0</v>
      </c>
      <c r="B932" s="3">
        <v>2022.0</v>
      </c>
      <c r="C932" s="3">
        <v>3.0</v>
      </c>
      <c r="D932" s="3" t="s">
        <v>11</v>
      </c>
      <c r="E932" s="3">
        <v>14.18</v>
      </c>
      <c r="F932" s="3">
        <v>16.95</v>
      </c>
      <c r="G932" s="3">
        <v>83.7</v>
      </c>
      <c r="H932" s="5" t="str">
        <f t="shared" si="1"/>
        <v>March 2022</v>
      </c>
      <c r="I932" s="6">
        <f t="shared" si="2"/>
        <v>44621</v>
      </c>
    </row>
    <row r="933">
      <c r="A933" s="2">
        <v>44652.0</v>
      </c>
      <c r="B933" s="3">
        <v>2022.0</v>
      </c>
      <c r="C933" s="3">
        <v>4.0</v>
      </c>
      <c r="D933" s="3" t="s">
        <v>11</v>
      </c>
      <c r="E933" s="3">
        <v>13.18</v>
      </c>
      <c r="F933" s="3">
        <v>16.21</v>
      </c>
      <c r="G933" s="3">
        <v>81.3</v>
      </c>
      <c r="H933" s="5" t="str">
        <f t="shared" si="1"/>
        <v>April 2022</v>
      </c>
      <c r="I933" s="6">
        <f t="shared" si="2"/>
        <v>44652</v>
      </c>
    </row>
    <row r="934">
      <c r="A934" s="2">
        <v>44682.0</v>
      </c>
      <c r="B934" s="3">
        <v>2022.0</v>
      </c>
      <c r="C934" s="3">
        <v>5.0</v>
      </c>
      <c r="D934" s="3" t="s">
        <v>11</v>
      </c>
      <c r="E934" s="3">
        <v>11.97</v>
      </c>
      <c r="F934" s="3">
        <v>14.82</v>
      </c>
      <c r="G934" s="3">
        <v>80.8</v>
      </c>
      <c r="H934" s="5" t="str">
        <f t="shared" si="1"/>
        <v>May 2022</v>
      </c>
      <c r="I934" s="6">
        <f t="shared" si="2"/>
        <v>44682</v>
      </c>
    </row>
    <row r="935">
      <c r="A935" s="2">
        <v>44713.0</v>
      </c>
      <c r="B935" s="3">
        <v>2022.0</v>
      </c>
      <c r="C935" s="3">
        <v>6.0</v>
      </c>
      <c r="D935" s="3" t="s">
        <v>11</v>
      </c>
      <c r="E935" s="3">
        <v>12.44</v>
      </c>
      <c r="F935" s="3">
        <v>15.56</v>
      </c>
      <c r="G935" s="3">
        <v>80.0</v>
      </c>
      <c r="H935" s="5" t="str">
        <f t="shared" si="1"/>
        <v>June 2022</v>
      </c>
      <c r="I935" s="6">
        <f t="shared" si="2"/>
        <v>44713</v>
      </c>
    </row>
    <row r="936">
      <c r="A936" s="2">
        <v>44743.0</v>
      </c>
      <c r="B936" s="3">
        <v>2022.0</v>
      </c>
      <c r="C936" s="3">
        <v>7.0</v>
      </c>
      <c r="D936" s="3" t="s">
        <v>11</v>
      </c>
      <c r="E936" s="3">
        <v>12.66</v>
      </c>
      <c r="F936" s="3">
        <v>15.46</v>
      </c>
      <c r="G936" s="3">
        <v>81.9</v>
      </c>
      <c r="H936" s="5" t="str">
        <f t="shared" si="1"/>
        <v>July 2022</v>
      </c>
      <c r="I936" s="6">
        <f t="shared" si="2"/>
        <v>44743</v>
      </c>
    </row>
    <row r="937">
      <c r="A937" s="2">
        <v>44774.0</v>
      </c>
      <c r="B937" s="3">
        <v>2022.0</v>
      </c>
      <c r="C937" s="3">
        <v>8.0</v>
      </c>
      <c r="D937" s="3" t="s">
        <v>11</v>
      </c>
      <c r="E937" s="3">
        <v>12.09</v>
      </c>
      <c r="F937" s="3">
        <v>14.67</v>
      </c>
      <c r="G937" s="3">
        <v>82.4</v>
      </c>
      <c r="H937" s="5" t="str">
        <f t="shared" si="1"/>
        <v>August 2022</v>
      </c>
      <c r="I937" s="6">
        <f t="shared" si="2"/>
        <v>44774</v>
      </c>
    </row>
    <row r="938">
      <c r="A938" s="2">
        <v>44805.0</v>
      </c>
      <c r="B938" s="3">
        <v>2022.0</v>
      </c>
      <c r="C938" s="3">
        <v>9.0</v>
      </c>
      <c r="D938" s="3" t="s">
        <v>11</v>
      </c>
      <c r="E938" s="3">
        <v>13.24</v>
      </c>
      <c r="F938" s="3">
        <v>15.96</v>
      </c>
      <c r="G938" s="3">
        <v>83.0</v>
      </c>
      <c r="H938" s="5" t="str">
        <f t="shared" si="1"/>
        <v>September 2022</v>
      </c>
      <c r="I938" s="6">
        <f t="shared" si="2"/>
        <v>44805</v>
      </c>
    </row>
    <row r="939">
      <c r="A939" s="4">
        <v>44835.0</v>
      </c>
      <c r="B939" s="3">
        <v>2022.0</v>
      </c>
      <c r="C939" s="3">
        <v>10.0</v>
      </c>
      <c r="D939" s="3" t="s">
        <v>11</v>
      </c>
      <c r="E939" s="3">
        <v>13.95</v>
      </c>
      <c r="F939" s="3">
        <v>17.0</v>
      </c>
      <c r="G939" s="3">
        <v>82.1</v>
      </c>
      <c r="H939" s="5" t="str">
        <f t="shared" si="1"/>
        <v>October 2022</v>
      </c>
      <c r="I939" s="6">
        <f t="shared" si="2"/>
        <v>44835</v>
      </c>
    </row>
    <row r="940">
      <c r="A940" s="4">
        <v>44866.0</v>
      </c>
      <c r="B940" s="3">
        <v>2022.0</v>
      </c>
      <c r="C940" s="3">
        <v>11.0</v>
      </c>
      <c r="D940" s="3" t="s">
        <v>11</v>
      </c>
      <c r="E940" s="3">
        <v>15.27</v>
      </c>
      <c r="F940" s="3">
        <v>18.48</v>
      </c>
      <c r="G940" s="3">
        <v>82.6</v>
      </c>
      <c r="H940" s="5" t="str">
        <f t="shared" si="1"/>
        <v>November 2022</v>
      </c>
      <c r="I940" s="6">
        <f t="shared" si="2"/>
        <v>44866</v>
      </c>
    </row>
    <row r="941">
      <c r="A941" s="4">
        <v>44896.0</v>
      </c>
      <c r="B941" s="3">
        <v>2022.0</v>
      </c>
      <c r="C941" s="3">
        <v>12.0</v>
      </c>
      <c r="D941" s="3" t="s">
        <v>11</v>
      </c>
      <c r="E941" s="3">
        <v>16.18</v>
      </c>
      <c r="F941" s="3">
        <v>19.85</v>
      </c>
      <c r="G941" s="3">
        <v>81.5</v>
      </c>
      <c r="H941" s="5" t="str">
        <f t="shared" si="1"/>
        <v>December 2022</v>
      </c>
      <c r="I941" s="6">
        <f t="shared" si="2"/>
        <v>44896</v>
      </c>
    </row>
    <row r="942">
      <c r="A942" s="2">
        <v>44927.0</v>
      </c>
      <c r="B942" s="3">
        <v>2023.0</v>
      </c>
      <c r="C942" s="3">
        <v>1.0</v>
      </c>
      <c r="D942" s="3" t="s">
        <v>11</v>
      </c>
      <c r="E942" s="3">
        <v>15.76</v>
      </c>
      <c r="F942" s="3">
        <v>19.93</v>
      </c>
      <c r="G942" s="3">
        <v>79.0</v>
      </c>
      <c r="H942" s="5" t="str">
        <f t="shared" si="1"/>
        <v>January 2023</v>
      </c>
      <c r="I942" s="6">
        <f t="shared" si="2"/>
        <v>44927</v>
      </c>
    </row>
    <row r="943">
      <c r="A943" s="2">
        <v>44958.0</v>
      </c>
      <c r="B943" s="3">
        <v>2023.0</v>
      </c>
      <c r="C943" s="3">
        <v>2.0</v>
      </c>
      <c r="D943" s="3" t="s">
        <v>11</v>
      </c>
      <c r="E943" s="3">
        <v>16.19</v>
      </c>
      <c r="F943" s="3">
        <v>19.75</v>
      </c>
      <c r="G943" s="3">
        <v>82.0</v>
      </c>
      <c r="H943" s="5" t="str">
        <f t="shared" si="1"/>
        <v>February 2023</v>
      </c>
      <c r="I943" s="6">
        <f t="shared" si="2"/>
        <v>44958</v>
      </c>
    </row>
    <row r="944">
      <c r="A944" s="2">
        <v>44986.0</v>
      </c>
      <c r="B944" s="3">
        <v>2023.0</v>
      </c>
      <c r="C944" s="3">
        <v>3.0</v>
      </c>
      <c r="D944" s="3" t="s">
        <v>11</v>
      </c>
      <c r="E944" s="3">
        <v>15.81</v>
      </c>
      <c r="F944" s="3">
        <v>18.99</v>
      </c>
      <c r="G944" s="3">
        <v>83.3</v>
      </c>
      <c r="H944" s="5" t="str">
        <f t="shared" si="1"/>
        <v>March 2023</v>
      </c>
      <c r="I944" s="6">
        <f t="shared" si="2"/>
        <v>44986</v>
      </c>
    </row>
    <row r="945">
      <c r="A945" s="2">
        <v>45017.0</v>
      </c>
      <c r="B945" s="3">
        <v>2023.0</v>
      </c>
      <c r="C945" s="3">
        <v>4.0</v>
      </c>
      <c r="D945" s="3" t="s">
        <v>11</v>
      </c>
      <c r="E945" s="3">
        <v>15.37</v>
      </c>
      <c r="F945" s="3">
        <v>19.2</v>
      </c>
      <c r="G945" s="3">
        <v>80.1</v>
      </c>
      <c r="H945" s="5" t="str">
        <f t="shared" si="1"/>
        <v>April 2023</v>
      </c>
      <c r="I945" s="6">
        <f t="shared" si="2"/>
        <v>45017</v>
      </c>
    </row>
    <row r="946">
      <c r="A946" s="2">
        <v>45047.0</v>
      </c>
      <c r="B946" s="3">
        <v>2023.0</v>
      </c>
      <c r="C946" s="3">
        <v>5.0</v>
      </c>
      <c r="D946" s="3" t="s">
        <v>11</v>
      </c>
      <c r="E946" s="3">
        <v>14.76</v>
      </c>
      <c r="F946" s="3">
        <v>17.9</v>
      </c>
      <c r="G946" s="3">
        <v>82.5</v>
      </c>
      <c r="H946" s="5" t="str">
        <f t="shared" si="1"/>
        <v>May 2023</v>
      </c>
      <c r="I946" s="6">
        <f t="shared" si="2"/>
        <v>45047</v>
      </c>
    </row>
    <row r="947">
      <c r="A947" s="2">
        <v>45078.0</v>
      </c>
      <c r="B947" s="3">
        <v>2023.0</v>
      </c>
      <c r="C947" s="3">
        <v>6.0</v>
      </c>
      <c r="D947" s="3" t="s">
        <v>11</v>
      </c>
      <c r="E947" s="3">
        <v>14.6</v>
      </c>
      <c r="F947" s="3">
        <v>17.03</v>
      </c>
      <c r="G947" s="3">
        <v>85.8</v>
      </c>
      <c r="H947" s="5" t="str">
        <f t="shared" si="1"/>
        <v>June 2023</v>
      </c>
      <c r="I947" s="6">
        <f t="shared" si="2"/>
        <v>45078</v>
      </c>
    </row>
    <row r="948">
      <c r="A948" s="2">
        <v>45108.0</v>
      </c>
      <c r="B948" s="3">
        <v>2023.0</v>
      </c>
      <c r="C948" s="3">
        <v>7.0</v>
      </c>
      <c r="D948" s="3" t="s">
        <v>11</v>
      </c>
      <c r="E948" s="3">
        <v>14.11</v>
      </c>
      <c r="F948" s="3">
        <v>17.24</v>
      </c>
      <c r="G948" s="3">
        <v>81.9</v>
      </c>
      <c r="H948" s="5" t="str">
        <f t="shared" si="1"/>
        <v>July 2023</v>
      </c>
      <c r="I948" s="6">
        <f t="shared" si="2"/>
        <v>45108</v>
      </c>
    </row>
    <row r="949">
      <c r="A949" s="2">
        <v>45139.0</v>
      </c>
      <c r="B949" s="3">
        <v>2023.0</v>
      </c>
      <c r="C949" s="3">
        <v>8.0</v>
      </c>
      <c r="D949" s="3" t="s">
        <v>11</v>
      </c>
      <c r="E949" s="3">
        <v>14.96</v>
      </c>
      <c r="F949" s="3">
        <v>18.25</v>
      </c>
      <c r="G949" s="3">
        <v>82.0</v>
      </c>
      <c r="H949" s="5" t="str">
        <f t="shared" si="1"/>
        <v>August 2023</v>
      </c>
      <c r="I949" s="6">
        <f t="shared" si="2"/>
        <v>45139</v>
      </c>
    </row>
    <row r="950">
      <c r="A950" s="2">
        <v>45170.0</v>
      </c>
      <c r="B950" s="3">
        <v>2023.0</v>
      </c>
      <c r="C950" s="3">
        <v>9.0</v>
      </c>
      <c r="D950" s="3" t="s">
        <v>11</v>
      </c>
      <c r="E950" s="3">
        <v>15.29</v>
      </c>
      <c r="F950" s="3">
        <v>19.37</v>
      </c>
      <c r="G950" s="3">
        <v>78.9</v>
      </c>
      <c r="H950" s="5" t="str">
        <f t="shared" si="1"/>
        <v>September 2023</v>
      </c>
      <c r="I950" s="6">
        <f t="shared" si="2"/>
        <v>45170</v>
      </c>
    </row>
    <row r="951">
      <c r="A951" s="4">
        <v>45200.0</v>
      </c>
      <c r="B951" s="3">
        <v>2023.0</v>
      </c>
      <c r="C951" s="3">
        <v>10.0</v>
      </c>
      <c r="D951" s="3" t="s">
        <v>11</v>
      </c>
      <c r="E951" s="3">
        <v>16.25</v>
      </c>
      <c r="F951" s="3">
        <v>20.35</v>
      </c>
      <c r="G951" s="3">
        <v>79.9</v>
      </c>
      <c r="H951" s="5" t="str">
        <f t="shared" si="1"/>
        <v>October 2023</v>
      </c>
      <c r="I951" s="6">
        <f t="shared" si="2"/>
        <v>45200</v>
      </c>
    </row>
    <row r="952">
      <c r="A952" s="4">
        <v>45231.0</v>
      </c>
      <c r="B952" s="3">
        <v>2023.0</v>
      </c>
      <c r="C952" s="3">
        <v>11.0</v>
      </c>
      <c r="D952" s="3" t="s">
        <v>11</v>
      </c>
      <c r="E952" s="3">
        <v>16.62</v>
      </c>
      <c r="F952" s="3">
        <v>20.67</v>
      </c>
      <c r="G952" s="3">
        <v>80.4</v>
      </c>
      <c r="H952" s="5" t="str">
        <f t="shared" si="1"/>
        <v>November 2023</v>
      </c>
      <c r="I952" s="6">
        <f t="shared" si="2"/>
        <v>45231</v>
      </c>
    </row>
    <row r="953">
      <c r="A953" s="4">
        <v>45261.0</v>
      </c>
      <c r="B953" s="3">
        <v>2023.0</v>
      </c>
      <c r="C953" s="3">
        <v>12.0</v>
      </c>
      <c r="D953" s="3" t="s">
        <v>11</v>
      </c>
      <c r="E953" s="3">
        <v>17.73</v>
      </c>
      <c r="F953" s="3">
        <v>21.31</v>
      </c>
      <c r="G953" s="3">
        <v>83.2</v>
      </c>
      <c r="H953" s="5" t="str">
        <f t="shared" si="1"/>
        <v>December 2023</v>
      </c>
      <c r="I953" s="6">
        <f t="shared" si="2"/>
        <v>45261</v>
      </c>
    </row>
    <row r="954">
      <c r="A954" s="2">
        <v>45292.0</v>
      </c>
      <c r="B954" s="3">
        <v>2024.0</v>
      </c>
      <c r="C954" s="3">
        <v>1.0</v>
      </c>
      <c r="D954" s="3" t="s">
        <v>11</v>
      </c>
      <c r="E954" s="3">
        <v>19.04</v>
      </c>
      <c r="F954" s="3">
        <v>23.74</v>
      </c>
      <c r="G954" s="3">
        <v>80.2</v>
      </c>
      <c r="H954" s="5" t="str">
        <f t="shared" si="1"/>
        <v>January 2024</v>
      </c>
      <c r="I954" s="6">
        <f t="shared" si="2"/>
        <v>45292</v>
      </c>
    </row>
    <row r="955">
      <c r="A955" s="2">
        <v>45323.0</v>
      </c>
      <c r="B955" s="3">
        <v>2024.0</v>
      </c>
      <c r="C955" s="3">
        <v>2.0</v>
      </c>
      <c r="D955" s="3" t="s">
        <v>11</v>
      </c>
      <c r="E955" s="3">
        <v>18.42</v>
      </c>
      <c r="F955" s="3">
        <v>23.53</v>
      </c>
      <c r="G955" s="3">
        <v>78.3</v>
      </c>
      <c r="H955" s="5" t="str">
        <f t="shared" si="1"/>
        <v>February 2024</v>
      </c>
      <c r="I955" s="6">
        <f t="shared" si="2"/>
        <v>45323</v>
      </c>
    </row>
    <row r="956">
      <c r="A956" s="2">
        <v>45352.0</v>
      </c>
      <c r="B956" s="3">
        <v>2024.0</v>
      </c>
      <c r="C956" s="3">
        <v>3.0</v>
      </c>
      <c r="D956" s="3" t="s">
        <v>11</v>
      </c>
      <c r="E956" s="3">
        <v>17.76</v>
      </c>
      <c r="F956" s="3">
        <v>21.45</v>
      </c>
      <c r="G956" s="3">
        <v>82.8</v>
      </c>
      <c r="H956" s="5" t="str">
        <f t="shared" si="1"/>
        <v>March 2024</v>
      </c>
      <c r="I956" s="6">
        <f t="shared" si="2"/>
        <v>45352</v>
      </c>
    </row>
    <row r="957">
      <c r="A957" s="2">
        <v>45383.0</v>
      </c>
      <c r="B957" s="3">
        <v>2024.0</v>
      </c>
      <c r="C957" s="3">
        <v>4.0</v>
      </c>
      <c r="D957" s="3" t="s">
        <v>11</v>
      </c>
      <c r="E957" s="3">
        <v>17.68</v>
      </c>
      <c r="F957" s="3">
        <v>21.95</v>
      </c>
      <c r="G957" s="3">
        <v>80.6</v>
      </c>
      <c r="H957" s="5" t="str">
        <f t="shared" si="1"/>
        <v>April 2024</v>
      </c>
      <c r="I957" s="6">
        <f t="shared" si="2"/>
        <v>45383</v>
      </c>
    </row>
    <row r="958">
      <c r="A958" s="2">
        <v>45413.0</v>
      </c>
      <c r="B958" s="3">
        <v>2024.0</v>
      </c>
      <c r="C958" s="3">
        <v>5.0</v>
      </c>
      <c r="D958" s="3" t="s">
        <v>11</v>
      </c>
      <c r="E958" s="3">
        <v>16.99</v>
      </c>
      <c r="F958" s="3">
        <v>21.52</v>
      </c>
      <c r="G958" s="3">
        <v>79.0</v>
      </c>
      <c r="H958" s="5" t="str">
        <f t="shared" si="1"/>
        <v>May 2024</v>
      </c>
      <c r="I958" s="6">
        <f t="shared" si="2"/>
        <v>45413</v>
      </c>
    </row>
    <row r="959">
      <c r="A959" s="2">
        <v>45444.0</v>
      </c>
      <c r="B959" s="3">
        <v>2024.0</v>
      </c>
      <c r="C959" s="3">
        <v>6.0</v>
      </c>
      <c r="D959" s="3" t="s">
        <v>11</v>
      </c>
      <c r="E959" s="3">
        <v>15.32</v>
      </c>
      <c r="F959" s="3">
        <v>18.37</v>
      </c>
      <c r="G959" s="3">
        <v>83.4</v>
      </c>
      <c r="H959" s="5" t="str">
        <f t="shared" si="1"/>
        <v>June 2024</v>
      </c>
      <c r="I959" s="6">
        <f t="shared" si="2"/>
        <v>45444</v>
      </c>
    </row>
    <row r="960">
      <c r="A960" s="2">
        <v>45474.0</v>
      </c>
      <c r="B960" s="3">
        <v>2024.0</v>
      </c>
      <c r="C960" s="3">
        <v>7.0</v>
      </c>
      <c r="D960" s="3" t="s">
        <v>11</v>
      </c>
      <c r="E960" s="3">
        <v>16.56</v>
      </c>
      <c r="F960" s="3">
        <v>19.95</v>
      </c>
      <c r="G960" s="3">
        <v>83.0</v>
      </c>
      <c r="H960" s="5" t="str">
        <f t="shared" si="1"/>
        <v>July 2024</v>
      </c>
      <c r="I960" s="6">
        <f t="shared" si="2"/>
        <v>45474</v>
      </c>
    </row>
    <row r="961">
      <c r="A961" s="2">
        <v>45505.0</v>
      </c>
      <c r="B961" s="3">
        <v>2024.0</v>
      </c>
      <c r="C961" s="3">
        <v>8.0</v>
      </c>
      <c r="D961" s="3" t="s">
        <v>11</v>
      </c>
      <c r="E961" s="3">
        <v>16.04</v>
      </c>
      <c r="F961" s="3">
        <v>20.67</v>
      </c>
      <c r="G961" s="3">
        <v>77.6</v>
      </c>
      <c r="H961" s="5" t="str">
        <f t="shared" si="1"/>
        <v>August 2024</v>
      </c>
      <c r="I961" s="6">
        <f t="shared" si="2"/>
        <v>45505</v>
      </c>
    </row>
    <row r="962">
      <c r="A962" s="2">
        <v>45536.0</v>
      </c>
      <c r="B962" s="3">
        <v>2024.0</v>
      </c>
      <c r="C962" s="3">
        <v>9.0</v>
      </c>
      <c r="D962" s="3" t="s">
        <v>11</v>
      </c>
      <c r="E962" s="3">
        <v>15.8</v>
      </c>
      <c r="F962" s="3">
        <v>19.2</v>
      </c>
      <c r="G962" s="3">
        <v>82.3</v>
      </c>
      <c r="H962" s="5" t="str">
        <f t="shared" si="1"/>
        <v>September 2024</v>
      </c>
      <c r="I962" s="6">
        <f t="shared" si="2"/>
        <v>45536</v>
      </c>
    </row>
    <row r="963">
      <c r="A963" s="4">
        <v>45566.0</v>
      </c>
      <c r="B963" s="3">
        <v>2024.0</v>
      </c>
      <c r="C963" s="3">
        <v>10.0</v>
      </c>
      <c r="D963" s="3" t="s">
        <v>11</v>
      </c>
      <c r="E963" s="3">
        <v>17.56</v>
      </c>
      <c r="F963" s="3">
        <v>22.01</v>
      </c>
      <c r="G963" s="3">
        <v>79.8</v>
      </c>
      <c r="H963" s="5" t="str">
        <f t="shared" si="1"/>
        <v>October 2024</v>
      </c>
      <c r="I963" s="6">
        <f t="shared" si="2"/>
        <v>45566</v>
      </c>
    </row>
    <row r="964">
      <c r="A964" s="4">
        <v>45597.0</v>
      </c>
      <c r="B964" s="3">
        <v>2024.0</v>
      </c>
      <c r="C964" s="3">
        <v>11.0</v>
      </c>
      <c r="D964" s="3" t="s">
        <v>11</v>
      </c>
      <c r="E964" s="3">
        <v>18.76</v>
      </c>
      <c r="F964" s="3">
        <v>22.82</v>
      </c>
      <c r="G964" s="3">
        <v>82.2</v>
      </c>
      <c r="H964" s="5" t="str">
        <f t="shared" si="1"/>
        <v>November 2024</v>
      </c>
      <c r="I964" s="6">
        <f t="shared" si="2"/>
        <v>45597</v>
      </c>
    </row>
    <row r="965">
      <c r="A965" s="4">
        <v>45627.0</v>
      </c>
      <c r="B965" s="3">
        <v>2024.0</v>
      </c>
      <c r="C965" s="3">
        <v>12.0</v>
      </c>
      <c r="D965" s="3" t="s">
        <v>11</v>
      </c>
      <c r="E965" s="3">
        <v>20.03</v>
      </c>
      <c r="F965" s="3">
        <v>24.34</v>
      </c>
      <c r="G965" s="3">
        <v>82.3</v>
      </c>
      <c r="H965" s="5" t="str">
        <f t="shared" si="1"/>
        <v>December 2024</v>
      </c>
      <c r="I965" s="6">
        <f t="shared" si="2"/>
        <v>45627</v>
      </c>
    </row>
    <row r="966">
      <c r="A966" s="2">
        <v>45658.0</v>
      </c>
      <c r="B966" s="3">
        <v>2025.0</v>
      </c>
      <c r="C966" s="3">
        <v>1.0</v>
      </c>
      <c r="D966" s="3" t="s">
        <v>11</v>
      </c>
      <c r="E966" s="3">
        <v>20.54</v>
      </c>
      <c r="F966" s="3">
        <v>25.05</v>
      </c>
      <c r="G966" s="3">
        <v>82.0</v>
      </c>
      <c r="H966" s="5" t="str">
        <f t="shared" si="1"/>
        <v>January 2025</v>
      </c>
      <c r="I966" s="6">
        <f t="shared" si="2"/>
        <v>45658</v>
      </c>
    </row>
    <row r="967">
      <c r="A967" s="2">
        <v>45689.0</v>
      </c>
      <c r="B967" s="3">
        <v>2025.0</v>
      </c>
      <c r="C967" s="3">
        <v>2.0</v>
      </c>
      <c r="D967" s="3" t="s">
        <v>11</v>
      </c>
      <c r="E967" s="3">
        <v>19.58</v>
      </c>
      <c r="F967" s="3">
        <v>23.28</v>
      </c>
      <c r="G967" s="3">
        <v>84.1</v>
      </c>
      <c r="H967" s="5" t="str">
        <f t="shared" si="1"/>
        <v>February 2025</v>
      </c>
      <c r="I967" s="6">
        <f t="shared" si="2"/>
        <v>45689</v>
      </c>
    </row>
    <row r="968">
      <c r="A968" s="2">
        <v>45717.0</v>
      </c>
      <c r="B968" s="3">
        <v>2025.0</v>
      </c>
      <c r="C968" s="3">
        <v>3.0</v>
      </c>
      <c r="D968" s="3" t="s">
        <v>11</v>
      </c>
      <c r="E968" s="3">
        <v>18.52</v>
      </c>
      <c r="F968" s="3">
        <v>21.14</v>
      </c>
      <c r="G968" s="3">
        <v>87.6</v>
      </c>
      <c r="H968" s="5" t="str">
        <f t="shared" si="1"/>
        <v>March 2025</v>
      </c>
      <c r="I968" s="6">
        <f t="shared" si="2"/>
        <v>45717</v>
      </c>
    </row>
    <row r="969">
      <c r="A969" s="2">
        <v>45748.0</v>
      </c>
      <c r="B969" s="3">
        <v>2025.0</v>
      </c>
      <c r="C969" s="3">
        <v>4.0</v>
      </c>
      <c r="D969" s="3" t="s">
        <v>11</v>
      </c>
      <c r="E969" s="3">
        <v>18.46</v>
      </c>
      <c r="F969" s="3">
        <v>22.3</v>
      </c>
      <c r="G969" s="3">
        <v>82.8</v>
      </c>
      <c r="H969" s="5" t="str">
        <f t="shared" si="1"/>
        <v>April 2025</v>
      </c>
      <c r="I969" s="6">
        <f t="shared" si="2"/>
        <v>45748</v>
      </c>
    </row>
    <row r="970">
      <c r="A970" s="2">
        <v>45778.0</v>
      </c>
      <c r="B970" s="3">
        <v>2025.0</v>
      </c>
      <c r="C970" s="3">
        <v>5.0</v>
      </c>
      <c r="D970" s="3" t="s">
        <v>11</v>
      </c>
      <c r="E970" s="3">
        <v>17.69</v>
      </c>
      <c r="F970" s="3">
        <v>20.63</v>
      </c>
      <c r="G970" s="3">
        <v>85.8</v>
      </c>
      <c r="H970" s="5" t="str">
        <f t="shared" si="1"/>
        <v>May 2025</v>
      </c>
      <c r="I970" s="6">
        <f t="shared" si="2"/>
        <v>45778</v>
      </c>
    </row>
    <row r="971">
      <c r="A971" s="2">
        <v>45809.0</v>
      </c>
      <c r="B971" s="3">
        <v>2025.0</v>
      </c>
      <c r="C971" s="3">
        <v>6.0</v>
      </c>
      <c r="D971" s="3" t="s">
        <v>11</v>
      </c>
      <c r="E971" s="3">
        <v>17.23</v>
      </c>
      <c r="F971" s="3">
        <v>21.86</v>
      </c>
      <c r="G971" s="3">
        <v>78.8</v>
      </c>
      <c r="H971" s="5" t="str">
        <f t="shared" si="1"/>
        <v>June 2025</v>
      </c>
      <c r="I971" s="6">
        <f t="shared" si="2"/>
        <v>45809</v>
      </c>
    </row>
    <row r="972">
      <c r="A972" s="2">
        <v>45839.0</v>
      </c>
      <c r="B972" s="3">
        <v>2025.0</v>
      </c>
      <c r="C972" s="3">
        <v>7.0</v>
      </c>
      <c r="D972" s="3" t="s">
        <v>11</v>
      </c>
      <c r="E972" s="3">
        <v>17.37</v>
      </c>
      <c r="F972" s="3">
        <v>21.36</v>
      </c>
      <c r="G972" s="3">
        <v>81.3</v>
      </c>
      <c r="H972" s="5" t="str">
        <f t="shared" si="1"/>
        <v>July 2025</v>
      </c>
      <c r="I972" s="6">
        <f t="shared" si="2"/>
        <v>45839</v>
      </c>
    </row>
    <row r="973">
      <c r="A973" s="2">
        <v>45870.0</v>
      </c>
      <c r="B973" s="3">
        <v>2025.0</v>
      </c>
      <c r="C973" s="3">
        <v>8.0</v>
      </c>
      <c r="D973" s="3" t="s">
        <v>11</v>
      </c>
      <c r="E973" s="3">
        <v>17.03</v>
      </c>
      <c r="F973" s="3">
        <v>21.44</v>
      </c>
      <c r="G973" s="3">
        <v>79.4</v>
      </c>
      <c r="H973" s="5" t="str">
        <f t="shared" si="1"/>
        <v>August 2025</v>
      </c>
      <c r="I973" s="6">
        <f t="shared" si="2"/>
        <v>45870</v>
      </c>
    </row>
    <row r="974">
      <c r="A974" s="2">
        <v>45901.0</v>
      </c>
      <c r="B974" s="3">
        <v>2025.0</v>
      </c>
      <c r="C974" s="3">
        <v>9.0</v>
      </c>
      <c r="D974" s="3" t="s">
        <v>11</v>
      </c>
      <c r="E974" s="3">
        <v>18.02</v>
      </c>
      <c r="F974" s="3">
        <v>22.32</v>
      </c>
      <c r="G974" s="3">
        <v>80.7</v>
      </c>
      <c r="H974" s="5" t="str">
        <f t="shared" si="1"/>
        <v>September 2025</v>
      </c>
      <c r="I974" s="6">
        <f t="shared" si="2"/>
        <v>45901</v>
      </c>
    </row>
    <row r="975">
      <c r="A975" s="4">
        <v>45931.0</v>
      </c>
      <c r="B975" s="3">
        <v>2025.0</v>
      </c>
      <c r="C975" s="3">
        <v>10.0</v>
      </c>
      <c r="D975" s="3" t="s">
        <v>11</v>
      </c>
      <c r="E975" s="3">
        <v>18.81</v>
      </c>
      <c r="F975" s="3">
        <v>23.09</v>
      </c>
      <c r="G975" s="3">
        <v>81.4</v>
      </c>
      <c r="H975" s="5" t="str">
        <f t="shared" si="1"/>
        <v>October 2025</v>
      </c>
      <c r="I975" s="6">
        <f t="shared" si="2"/>
        <v>45931</v>
      </c>
    </row>
    <row r="976">
      <c r="A976" s="4">
        <v>45962.0</v>
      </c>
      <c r="B976" s="3">
        <v>2025.0</v>
      </c>
      <c r="C976" s="3">
        <v>11.0</v>
      </c>
      <c r="D976" s="3" t="s">
        <v>11</v>
      </c>
      <c r="E976" s="3">
        <v>20.95</v>
      </c>
      <c r="F976" s="3">
        <v>24.37</v>
      </c>
      <c r="G976" s="3">
        <v>86.0</v>
      </c>
      <c r="H976" s="5" t="str">
        <f t="shared" si="1"/>
        <v>November 2025</v>
      </c>
      <c r="I976" s="6">
        <f t="shared" si="2"/>
        <v>45962</v>
      </c>
    </row>
    <row r="977">
      <c r="A977" s="4">
        <v>45992.0</v>
      </c>
      <c r="B977" s="3">
        <v>2025.0</v>
      </c>
      <c r="C977" s="3">
        <v>12.0</v>
      </c>
      <c r="D977" s="3" t="s">
        <v>11</v>
      </c>
      <c r="E977" s="3">
        <v>20.58</v>
      </c>
      <c r="F977" s="3">
        <v>25.06</v>
      </c>
      <c r="G977" s="3">
        <v>82.1</v>
      </c>
      <c r="H977" s="5" t="str">
        <f t="shared" si="1"/>
        <v>December 2025</v>
      </c>
      <c r="I977" s="6">
        <f t="shared" si="2"/>
        <v>45992</v>
      </c>
    </row>
    <row r="978">
      <c r="A978" s="2">
        <v>46023.0</v>
      </c>
      <c r="B978" s="3">
        <v>2026.0</v>
      </c>
      <c r="C978" s="3">
        <v>1.0</v>
      </c>
      <c r="D978" s="3" t="s">
        <v>11</v>
      </c>
      <c r="E978" s="3">
        <v>20.67</v>
      </c>
      <c r="F978" s="3">
        <v>24.54</v>
      </c>
      <c r="G978" s="3">
        <v>84.2</v>
      </c>
      <c r="H978" s="5" t="str">
        <f t="shared" si="1"/>
        <v>January 2026</v>
      </c>
      <c r="I978" s="6">
        <f t="shared" si="2"/>
        <v>46023</v>
      </c>
    </row>
    <row r="979">
      <c r="A979" s="2">
        <v>46054.0</v>
      </c>
      <c r="B979" s="3">
        <v>2026.0</v>
      </c>
      <c r="C979" s="3">
        <v>2.0</v>
      </c>
      <c r="D979" s="3" t="s">
        <v>11</v>
      </c>
      <c r="E979" s="3">
        <v>20.44</v>
      </c>
      <c r="F979" s="3">
        <v>25.19</v>
      </c>
      <c r="G979" s="3">
        <v>81.2</v>
      </c>
      <c r="H979" s="5" t="str">
        <f t="shared" si="1"/>
        <v>February 2026</v>
      </c>
      <c r="I979" s="6">
        <f t="shared" si="2"/>
        <v>46054</v>
      </c>
    </row>
    <row r="980">
      <c r="A980" s="2">
        <v>46082.0</v>
      </c>
      <c r="B980" s="3">
        <v>2026.0</v>
      </c>
      <c r="C980" s="3">
        <v>3.0</v>
      </c>
      <c r="D980" s="3" t="s">
        <v>11</v>
      </c>
      <c r="E980" s="3">
        <v>20.54</v>
      </c>
      <c r="F980" s="3">
        <v>25.39</v>
      </c>
      <c r="G980" s="3">
        <v>80.9</v>
      </c>
      <c r="H980" s="5" t="str">
        <f t="shared" si="1"/>
        <v>March 2026</v>
      </c>
      <c r="I980" s="6">
        <f t="shared" si="2"/>
        <v>46082</v>
      </c>
    </row>
    <row r="981">
      <c r="A981" s="2">
        <v>46113.0</v>
      </c>
      <c r="B981" s="3">
        <v>2026.0</v>
      </c>
      <c r="C981" s="3">
        <v>4.0</v>
      </c>
      <c r="D981" s="3" t="s">
        <v>11</v>
      </c>
      <c r="E981" s="3">
        <v>18.98</v>
      </c>
      <c r="F981" s="3">
        <v>24.07</v>
      </c>
      <c r="G981" s="3">
        <v>78.8</v>
      </c>
      <c r="H981" s="5" t="str">
        <f t="shared" si="1"/>
        <v>April 2026</v>
      </c>
      <c r="I981" s="6">
        <f t="shared" si="2"/>
        <v>46113</v>
      </c>
    </row>
    <row r="982">
      <c r="A982" s="2">
        <v>40179.0</v>
      </c>
      <c r="B982" s="3">
        <v>2010.0</v>
      </c>
      <c r="C982" s="3">
        <v>1.0</v>
      </c>
      <c r="D982" s="3" t="s">
        <v>12</v>
      </c>
      <c r="E982" s="3">
        <v>4.0</v>
      </c>
      <c r="F982" s="3">
        <v>4.66</v>
      </c>
      <c r="G982" s="3">
        <v>85.9</v>
      </c>
      <c r="H982" s="5" t="str">
        <f t="shared" si="1"/>
        <v>January 2010</v>
      </c>
      <c r="I982" s="6">
        <f t="shared" si="2"/>
        <v>40179</v>
      </c>
    </row>
    <row r="983">
      <c r="A983" s="2">
        <v>40210.0</v>
      </c>
      <c r="B983" s="3">
        <v>2010.0</v>
      </c>
      <c r="C983" s="3">
        <v>2.0</v>
      </c>
      <c r="D983" s="3" t="s">
        <v>12</v>
      </c>
      <c r="E983" s="3">
        <v>3.93</v>
      </c>
      <c r="F983" s="3">
        <v>4.63</v>
      </c>
      <c r="G983" s="3">
        <v>84.9</v>
      </c>
      <c r="H983" s="5" t="str">
        <f t="shared" si="1"/>
        <v>February 2010</v>
      </c>
      <c r="I983" s="6">
        <f t="shared" si="2"/>
        <v>40210</v>
      </c>
    </row>
    <row r="984">
      <c r="A984" s="2">
        <v>40238.0</v>
      </c>
      <c r="B984" s="3">
        <v>2010.0</v>
      </c>
      <c r="C984" s="3">
        <v>3.0</v>
      </c>
      <c r="D984" s="3" t="s">
        <v>12</v>
      </c>
      <c r="E984" s="3">
        <v>3.86</v>
      </c>
      <c r="F984" s="3">
        <v>4.68</v>
      </c>
      <c r="G984" s="3">
        <v>82.5</v>
      </c>
      <c r="H984" s="5" t="str">
        <f t="shared" si="1"/>
        <v>March 2010</v>
      </c>
      <c r="I984" s="6">
        <f t="shared" si="2"/>
        <v>40238</v>
      </c>
    </row>
    <row r="985">
      <c r="A985" s="2">
        <v>40269.0</v>
      </c>
      <c r="B985" s="3">
        <v>2010.0</v>
      </c>
      <c r="C985" s="3">
        <v>4.0</v>
      </c>
      <c r="D985" s="3" t="s">
        <v>12</v>
      </c>
      <c r="E985" s="3">
        <v>4.11</v>
      </c>
      <c r="F985" s="3">
        <v>5.04</v>
      </c>
      <c r="G985" s="3">
        <v>81.5</v>
      </c>
      <c r="H985" s="5" t="str">
        <f t="shared" si="1"/>
        <v>April 2010</v>
      </c>
      <c r="I985" s="6">
        <f t="shared" si="2"/>
        <v>40269</v>
      </c>
    </row>
    <row r="986">
      <c r="A986" s="2">
        <v>40299.0</v>
      </c>
      <c r="B986" s="3">
        <v>2010.0</v>
      </c>
      <c r="C986" s="3">
        <v>5.0</v>
      </c>
      <c r="D986" s="3" t="s">
        <v>12</v>
      </c>
      <c r="E986" s="3">
        <v>4.71</v>
      </c>
      <c r="F986" s="3">
        <v>5.73</v>
      </c>
      <c r="G986" s="3">
        <v>82.2</v>
      </c>
      <c r="H986" s="5" t="str">
        <f t="shared" si="1"/>
        <v>May 2010</v>
      </c>
      <c r="I986" s="6">
        <f t="shared" si="2"/>
        <v>40299</v>
      </c>
    </row>
    <row r="987">
      <c r="A987" s="2">
        <v>40330.0</v>
      </c>
      <c r="B987" s="3">
        <v>2010.0</v>
      </c>
      <c r="C987" s="3">
        <v>6.0</v>
      </c>
      <c r="D987" s="3" t="s">
        <v>12</v>
      </c>
      <c r="E987" s="3">
        <v>4.77</v>
      </c>
      <c r="F987" s="3">
        <v>6.0</v>
      </c>
      <c r="G987" s="3">
        <v>79.4</v>
      </c>
      <c r="H987" s="5" t="str">
        <f t="shared" si="1"/>
        <v>June 2010</v>
      </c>
      <c r="I987" s="6">
        <f t="shared" si="2"/>
        <v>40330</v>
      </c>
    </row>
    <row r="988">
      <c r="A988" s="2">
        <v>40360.0</v>
      </c>
      <c r="B988" s="3">
        <v>2010.0</v>
      </c>
      <c r="C988" s="3">
        <v>7.0</v>
      </c>
      <c r="D988" s="3" t="s">
        <v>12</v>
      </c>
      <c r="E988" s="3">
        <v>5.04</v>
      </c>
      <c r="F988" s="3">
        <v>6.07</v>
      </c>
      <c r="G988" s="3">
        <v>83.0</v>
      </c>
      <c r="H988" s="5" t="str">
        <f t="shared" si="1"/>
        <v>July 2010</v>
      </c>
      <c r="I988" s="6">
        <f t="shared" si="2"/>
        <v>40360</v>
      </c>
    </row>
    <row r="989">
      <c r="A989" s="2">
        <v>40391.0</v>
      </c>
      <c r="B989" s="3">
        <v>2010.0</v>
      </c>
      <c r="C989" s="3">
        <v>8.0</v>
      </c>
      <c r="D989" s="3" t="s">
        <v>12</v>
      </c>
      <c r="E989" s="3">
        <v>5.72</v>
      </c>
      <c r="F989" s="3">
        <v>6.75</v>
      </c>
      <c r="G989" s="3">
        <v>84.7</v>
      </c>
      <c r="H989" s="5" t="str">
        <f t="shared" si="1"/>
        <v>August 2010</v>
      </c>
      <c r="I989" s="6">
        <f t="shared" si="2"/>
        <v>40391</v>
      </c>
    </row>
    <row r="990">
      <c r="A990" s="2">
        <v>40422.0</v>
      </c>
      <c r="B990" s="3">
        <v>2010.0</v>
      </c>
      <c r="C990" s="3">
        <v>9.0</v>
      </c>
      <c r="D990" s="3" t="s">
        <v>12</v>
      </c>
      <c r="E990" s="3">
        <v>5.02</v>
      </c>
      <c r="F990" s="3">
        <v>5.91</v>
      </c>
      <c r="G990" s="3">
        <v>84.8</v>
      </c>
      <c r="H990" s="5" t="str">
        <f t="shared" si="1"/>
        <v>September 2010</v>
      </c>
      <c r="I990" s="6">
        <f t="shared" si="2"/>
        <v>40422</v>
      </c>
    </row>
    <row r="991">
      <c r="A991" s="4">
        <v>40452.0</v>
      </c>
      <c r="B991" s="3">
        <v>2010.0</v>
      </c>
      <c r="C991" s="3">
        <v>10.0</v>
      </c>
      <c r="D991" s="3" t="s">
        <v>12</v>
      </c>
      <c r="E991" s="3">
        <v>5.22</v>
      </c>
      <c r="F991" s="3">
        <v>6.62</v>
      </c>
      <c r="G991" s="3">
        <v>78.9</v>
      </c>
      <c r="H991" s="5" t="str">
        <f t="shared" si="1"/>
        <v>October 2010</v>
      </c>
      <c r="I991" s="6">
        <f t="shared" si="2"/>
        <v>40452</v>
      </c>
    </row>
    <row r="992">
      <c r="A992" s="4">
        <v>40483.0</v>
      </c>
      <c r="B992" s="3">
        <v>2010.0</v>
      </c>
      <c r="C992" s="3">
        <v>11.0</v>
      </c>
      <c r="D992" s="3" t="s">
        <v>12</v>
      </c>
      <c r="E992" s="3">
        <v>4.71</v>
      </c>
      <c r="F992" s="3">
        <v>5.59</v>
      </c>
      <c r="G992" s="3">
        <v>84.2</v>
      </c>
      <c r="H992" s="5" t="str">
        <f t="shared" si="1"/>
        <v>November 2010</v>
      </c>
      <c r="I992" s="6">
        <f t="shared" si="2"/>
        <v>40483</v>
      </c>
    </row>
    <row r="993">
      <c r="A993" s="4">
        <v>40513.0</v>
      </c>
      <c r="B993" s="3">
        <v>2010.0</v>
      </c>
      <c r="C993" s="3">
        <v>12.0</v>
      </c>
      <c r="D993" s="3" t="s">
        <v>12</v>
      </c>
      <c r="E993" s="3">
        <v>4.49</v>
      </c>
      <c r="F993" s="3">
        <v>5.66</v>
      </c>
      <c r="G993" s="3">
        <v>79.4</v>
      </c>
      <c r="H993" s="5" t="str">
        <f t="shared" si="1"/>
        <v>December 2010</v>
      </c>
      <c r="I993" s="6">
        <f t="shared" si="2"/>
        <v>40513</v>
      </c>
    </row>
    <row r="994">
      <c r="A994" s="2">
        <v>40544.0</v>
      </c>
      <c r="B994" s="3">
        <v>2011.0</v>
      </c>
      <c r="C994" s="3">
        <v>1.0</v>
      </c>
      <c r="D994" s="3" t="s">
        <v>12</v>
      </c>
      <c r="E994" s="3">
        <v>4.25</v>
      </c>
      <c r="F994" s="3">
        <v>5.47</v>
      </c>
      <c r="G994" s="3">
        <v>77.7</v>
      </c>
      <c r="H994" s="5" t="str">
        <f t="shared" si="1"/>
        <v>January 2011</v>
      </c>
      <c r="I994" s="6">
        <f t="shared" si="2"/>
        <v>40544</v>
      </c>
    </row>
    <row r="995">
      <c r="A995" s="2">
        <v>40575.0</v>
      </c>
      <c r="B995" s="3">
        <v>2011.0</v>
      </c>
      <c r="C995" s="3">
        <v>2.0</v>
      </c>
      <c r="D995" s="3" t="s">
        <v>12</v>
      </c>
      <c r="E995" s="3">
        <v>4.07</v>
      </c>
      <c r="F995" s="3">
        <v>4.83</v>
      </c>
      <c r="G995" s="3">
        <v>84.3</v>
      </c>
      <c r="H995" s="5" t="str">
        <f t="shared" si="1"/>
        <v>February 2011</v>
      </c>
      <c r="I995" s="6">
        <f t="shared" si="2"/>
        <v>40575</v>
      </c>
    </row>
    <row r="996">
      <c r="A996" s="2">
        <v>40603.0</v>
      </c>
      <c r="B996" s="3">
        <v>2011.0</v>
      </c>
      <c r="C996" s="3">
        <v>3.0</v>
      </c>
      <c r="D996" s="3" t="s">
        <v>12</v>
      </c>
      <c r="E996" s="3">
        <v>4.22</v>
      </c>
      <c r="F996" s="3">
        <v>5.21</v>
      </c>
      <c r="G996" s="3">
        <v>81.0</v>
      </c>
      <c r="H996" s="5" t="str">
        <f t="shared" si="1"/>
        <v>March 2011</v>
      </c>
      <c r="I996" s="6">
        <f t="shared" si="2"/>
        <v>40603</v>
      </c>
    </row>
    <row r="997">
      <c r="A997" s="2">
        <v>40634.0</v>
      </c>
      <c r="B997" s="3">
        <v>2011.0</v>
      </c>
      <c r="C997" s="3">
        <v>4.0</v>
      </c>
      <c r="D997" s="3" t="s">
        <v>12</v>
      </c>
      <c r="E997" s="3">
        <v>4.63</v>
      </c>
      <c r="F997" s="3">
        <v>5.52</v>
      </c>
      <c r="G997" s="3">
        <v>83.9</v>
      </c>
      <c r="H997" s="5" t="str">
        <f t="shared" si="1"/>
        <v>April 2011</v>
      </c>
      <c r="I997" s="6">
        <f t="shared" si="2"/>
        <v>40634</v>
      </c>
    </row>
    <row r="998">
      <c r="A998" s="2">
        <v>40664.0</v>
      </c>
      <c r="B998" s="3">
        <v>2011.0</v>
      </c>
      <c r="C998" s="3">
        <v>5.0</v>
      </c>
      <c r="D998" s="3" t="s">
        <v>12</v>
      </c>
      <c r="E998" s="3">
        <v>5.1</v>
      </c>
      <c r="F998" s="3">
        <v>6.09</v>
      </c>
      <c r="G998" s="3">
        <v>83.7</v>
      </c>
      <c r="H998" s="5" t="str">
        <f t="shared" si="1"/>
        <v>May 2011</v>
      </c>
      <c r="I998" s="6">
        <f t="shared" si="2"/>
        <v>40664</v>
      </c>
    </row>
    <row r="999">
      <c r="A999" s="2">
        <v>40695.0</v>
      </c>
      <c r="B999" s="3">
        <v>2011.0</v>
      </c>
      <c r="C999" s="3">
        <v>6.0</v>
      </c>
      <c r="D999" s="3" t="s">
        <v>12</v>
      </c>
      <c r="E999" s="3">
        <v>5.47</v>
      </c>
      <c r="F999" s="3">
        <v>6.55</v>
      </c>
      <c r="G999" s="3">
        <v>83.5</v>
      </c>
      <c r="H999" s="5" t="str">
        <f t="shared" si="1"/>
        <v>June 2011</v>
      </c>
      <c r="I999" s="6">
        <f t="shared" si="2"/>
        <v>40695</v>
      </c>
    </row>
    <row r="1000">
      <c r="A1000" s="2">
        <v>40725.0</v>
      </c>
      <c r="B1000" s="3">
        <v>2011.0</v>
      </c>
      <c r="C1000" s="3">
        <v>7.0</v>
      </c>
      <c r="D1000" s="3" t="s">
        <v>12</v>
      </c>
      <c r="E1000" s="3">
        <v>5.64</v>
      </c>
      <c r="F1000" s="3">
        <v>6.86</v>
      </c>
      <c r="G1000" s="3">
        <v>82.2</v>
      </c>
      <c r="H1000" s="5" t="str">
        <f t="shared" si="1"/>
        <v>July 2011</v>
      </c>
      <c r="I1000" s="6">
        <f t="shared" si="2"/>
        <v>40725</v>
      </c>
    </row>
    <row r="1001">
      <c r="A1001" s="2">
        <v>40756.0</v>
      </c>
      <c r="B1001" s="3">
        <v>2011.0</v>
      </c>
      <c r="C1001" s="3">
        <v>8.0</v>
      </c>
      <c r="D1001" s="3" t="s">
        <v>12</v>
      </c>
      <c r="E1001" s="3">
        <v>5.68</v>
      </c>
      <c r="F1001" s="3">
        <v>7.14</v>
      </c>
      <c r="G1001" s="3">
        <v>79.6</v>
      </c>
      <c r="H1001" s="5" t="str">
        <f t="shared" si="1"/>
        <v>August 2011</v>
      </c>
      <c r="I1001" s="6">
        <f t="shared" si="2"/>
        <v>40756</v>
      </c>
    </row>
    <row r="1002">
      <c r="A1002" s="2">
        <v>40787.0</v>
      </c>
      <c r="B1002" s="3">
        <v>2011.0</v>
      </c>
      <c r="C1002" s="3">
        <v>9.0</v>
      </c>
      <c r="D1002" s="3" t="s">
        <v>12</v>
      </c>
      <c r="E1002" s="3">
        <v>5.49</v>
      </c>
      <c r="F1002" s="3">
        <v>6.74</v>
      </c>
      <c r="G1002" s="3">
        <v>81.4</v>
      </c>
      <c r="H1002" s="5" t="str">
        <f t="shared" si="1"/>
        <v>September 2011</v>
      </c>
      <c r="I1002" s="6">
        <f t="shared" si="2"/>
        <v>40787</v>
      </c>
    </row>
    <row r="1003">
      <c r="A1003" s="4">
        <v>40817.0</v>
      </c>
      <c r="B1003" s="3">
        <v>2011.0</v>
      </c>
      <c r="C1003" s="3">
        <v>10.0</v>
      </c>
      <c r="D1003" s="3" t="s">
        <v>12</v>
      </c>
      <c r="E1003" s="3">
        <v>5.44</v>
      </c>
      <c r="F1003" s="3">
        <v>6.41</v>
      </c>
      <c r="G1003" s="3">
        <v>84.9</v>
      </c>
      <c r="H1003" s="5" t="str">
        <f t="shared" si="1"/>
        <v>October 2011</v>
      </c>
      <c r="I1003" s="6">
        <f t="shared" si="2"/>
        <v>40817</v>
      </c>
    </row>
    <row r="1004">
      <c r="A1004" s="4">
        <v>40848.0</v>
      </c>
      <c r="B1004" s="3">
        <v>2011.0</v>
      </c>
      <c r="C1004" s="3">
        <v>11.0</v>
      </c>
      <c r="D1004" s="3" t="s">
        <v>12</v>
      </c>
      <c r="E1004" s="3">
        <v>5.04</v>
      </c>
      <c r="F1004" s="3">
        <v>6.0</v>
      </c>
      <c r="G1004" s="3">
        <v>84.0</v>
      </c>
      <c r="H1004" s="5" t="str">
        <f t="shared" si="1"/>
        <v>November 2011</v>
      </c>
      <c r="I1004" s="6">
        <f t="shared" si="2"/>
        <v>40848</v>
      </c>
    </row>
    <row r="1005">
      <c r="A1005" s="4">
        <v>40878.0</v>
      </c>
      <c r="B1005" s="3">
        <v>2011.0</v>
      </c>
      <c r="C1005" s="3">
        <v>12.0</v>
      </c>
      <c r="D1005" s="3" t="s">
        <v>12</v>
      </c>
      <c r="E1005" s="3">
        <v>4.85</v>
      </c>
      <c r="F1005" s="3">
        <v>5.95</v>
      </c>
      <c r="G1005" s="3">
        <v>81.5</v>
      </c>
      <c r="H1005" s="5" t="str">
        <f t="shared" si="1"/>
        <v>December 2011</v>
      </c>
      <c r="I1005" s="6">
        <f t="shared" si="2"/>
        <v>40878</v>
      </c>
    </row>
    <row r="1006">
      <c r="A1006" s="2">
        <v>40909.0</v>
      </c>
      <c r="B1006" s="3">
        <v>2012.0</v>
      </c>
      <c r="C1006" s="3">
        <v>1.0</v>
      </c>
      <c r="D1006" s="3" t="s">
        <v>12</v>
      </c>
      <c r="E1006" s="3">
        <v>4.52</v>
      </c>
      <c r="F1006" s="3">
        <v>5.54</v>
      </c>
      <c r="G1006" s="3">
        <v>81.5</v>
      </c>
      <c r="H1006" s="5" t="str">
        <f t="shared" si="1"/>
        <v>January 2012</v>
      </c>
      <c r="I1006" s="6">
        <f t="shared" si="2"/>
        <v>40909</v>
      </c>
    </row>
    <row r="1007">
      <c r="A1007" s="2">
        <v>40940.0</v>
      </c>
      <c r="B1007" s="3">
        <v>2012.0</v>
      </c>
      <c r="C1007" s="3">
        <v>2.0</v>
      </c>
      <c r="D1007" s="3" t="s">
        <v>12</v>
      </c>
      <c r="E1007" s="3">
        <v>4.53</v>
      </c>
      <c r="F1007" s="3">
        <v>5.44</v>
      </c>
      <c r="G1007" s="3">
        <v>83.3</v>
      </c>
      <c r="H1007" s="5" t="str">
        <f t="shared" si="1"/>
        <v>February 2012</v>
      </c>
      <c r="I1007" s="6">
        <f t="shared" si="2"/>
        <v>40940</v>
      </c>
    </row>
    <row r="1008">
      <c r="A1008" s="2">
        <v>40969.0</v>
      </c>
      <c r="B1008" s="3">
        <v>2012.0</v>
      </c>
      <c r="C1008" s="3">
        <v>3.0</v>
      </c>
      <c r="D1008" s="3" t="s">
        <v>12</v>
      </c>
      <c r="E1008" s="3">
        <v>4.32</v>
      </c>
      <c r="F1008" s="3">
        <v>5.25</v>
      </c>
      <c r="G1008" s="3">
        <v>82.3</v>
      </c>
      <c r="H1008" s="5" t="str">
        <f t="shared" si="1"/>
        <v>March 2012</v>
      </c>
      <c r="I1008" s="6">
        <f t="shared" si="2"/>
        <v>40969</v>
      </c>
    </row>
    <row r="1009">
      <c r="A1009" s="2">
        <v>41000.0</v>
      </c>
      <c r="B1009" s="3">
        <v>2012.0</v>
      </c>
      <c r="C1009" s="3">
        <v>4.0</v>
      </c>
      <c r="D1009" s="3" t="s">
        <v>12</v>
      </c>
      <c r="E1009" s="3">
        <v>5.03</v>
      </c>
      <c r="F1009" s="3">
        <v>6.16</v>
      </c>
      <c r="G1009" s="3">
        <v>81.6</v>
      </c>
      <c r="H1009" s="5" t="str">
        <f t="shared" si="1"/>
        <v>April 2012</v>
      </c>
      <c r="I1009" s="6">
        <f t="shared" si="2"/>
        <v>41000</v>
      </c>
    </row>
    <row r="1010">
      <c r="A1010" s="2">
        <v>41030.0</v>
      </c>
      <c r="B1010" s="3">
        <v>2012.0</v>
      </c>
      <c r="C1010" s="3">
        <v>5.0</v>
      </c>
      <c r="D1010" s="3" t="s">
        <v>12</v>
      </c>
      <c r="E1010" s="3">
        <v>5.27</v>
      </c>
      <c r="F1010" s="3">
        <v>6.34</v>
      </c>
      <c r="G1010" s="3">
        <v>83.1</v>
      </c>
      <c r="H1010" s="5" t="str">
        <f t="shared" si="1"/>
        <v>May 2012</v>
      </c>
      <c r="I1010" s="6">
        <f t="shared" si="2"/>
        <v>41030</v>
      </c>
    </row>
    <row r="1011">
      <c r="A1011" s="2">
        <v>41061.0</v>
      </c>
      <c r="B1011" s="3">
        <v>2012.0</v>
      </c>
      <c r="C1011" s="3">
        <v>6.0</v>
      </c>
      <c r="D1011" s="3" t="s">
        <v>12</v>
      </c>
      <c r="E1011" s="3">
        <v>5.44</v>
      </c>
      <c r="F1011" s="3">
        <v>6.56</v>
      </c>
      <c r="G1011" s="3">
        <v>83.0</v>
      </c>
      <c r="H1011" s="5" t="str">
        <f t="shared" si="1"/>
        <v>June 2012</v>
      </c>
      <c r="I1011" s="6">
        <f t="shared" si="2"/>
        <v>41061</v>
      </c>
    </row>
    <row r="1012">
      <c r="A1012" s="2">
        <v>41091.0</v>
      </c>
      <c r="B1012" s="3">
        <v>2012.0</v>
      </c>
      <c r="C1012" s="3">
        <v>7.0</v>
      </c>
      <c r="D1012" s="3" t="s">
        <v>12</v>
      </c>
      <c r="E1012" s="3">
        <v>5.69</v>
      </c>
      <c r="F1012" s="3">
        <v>7.05</v>
      </c>
      <c r="G1012" s="3">
        <v>80.7</v>
      </c>
      <c r="H1012" s="5" t="str">
        <f t="shared" si="1"/>
        <v>July 2012</v>
      </c>
      <c r="I1012" s="6">
        <f t="shared" si="2"/>
        <v>41091</v>
      </c>
    </row>
    <row r="1013">
      <c r="A1013" s="2">
        <v>41122.0</v>
      </c>
      <c r="B1013" s="3">
        <v>2012.0</v>
      </c>
      <c r="C1013" s="3">
        <v>8.0</v>
      </c>
      <c r="D1013" s="3" t="s">
        <v>12</v>
      </c>
      <c r="E1013" s="3">
        <v>6.27</v>
      </c>
      <c r="F1013" s="3">
        <v>7.57</v>
      </c>
      <c r="G1013" s="3">
        <v>82.7</v>
      </c>
      <c r="H1013" s="5" t="str">
        <f t="shared" si="1"/>
        <v>August 2012</v>
      </c>
      <c r="I1013" s="6">
        <f t="shared" si="2"/>
        <v>41122</v>
      </c>
    </row>
    <row r="1014">
      <c r="A1014" s="2">
        <v>41153.0</v>
      </c>
      <c r="B1014" s="3">
        <v>2012.0</v>
      </c>
      <c r="C1014" s="3">
        <v>9.0</v>
      </c>
      <c r="D1014" s="3" t="s">
        <v>12</v>
      </c>
      <c r="E1014" s="3">
        <v>5.93</v>
      </c>
      <c r="F1014" s="3">
        <v>7.16</v>
      </c>
      <c r="G1014" s="3">
        <v>82.9</v>
      </c>
      <c r="H1014" s="5" t="str">
        <f t="shared" si="1"/>
        <v>September 2012</v>
      </c>
      <c r="I1014" s="6">
        <f t="shared" si="2"/>
        <v>41153</v>
      </c>
    </row>
    <row r="1015">
      <c r="A1015" s="4">
        <v>41183.0</v>
      </c>
      <c r="B1015" s="3">
        <v>2012.0</v>
      </c>
      <c r="C1015" s="3">
        <v>10.0</v>
      </c>
      <c r="D1015" s="3" t="s">
        <v>12</v>
      </c>
      <c r="E1015" s="3">
        <v>5.71</v>
      </c>
      <c r="F1015" s="3">
        <v>6.97</v>
      </c>
      <c r="G1015" s="3">
        <v>82.0</v>
      </c>
      <c r="H1015" s="5" t="str">
        <f t="shared" si="1"/>
        <v>October 2012</v>
      </c>
      <c r="I1015" s="6">
        <f t="shared" si="2"/>
        <v>41183</v>
      </c>
    </row>
    <row r="1016">
      <c r="A1016" s="4">
        <v>41214.0</v>
      </c>
      <c r="B1016" s="3">
        <v>2012.0</v>
      </c>
      <c r="C1016" s="3">
        <v>11.0</v>
      </c>
      <c r="D1016" s="3" t="s">
        <v>12</v>
      </c>
      <c r="E1016" s="3">
        <v>5.46</v>
      </c>
      <c r="F1016" s="3">
        <v>6.77</v>
      </c>
      <c r="G1016" s="3">
        <v>80.5</v>
      </c>
      <c r="H1016" s="5" t="str">
        <f t="shared" si="1"/>
        <v>November 2012</v>
      </c>
      <c r="I1016" s="6">
        <f t="shared" si="2"/>
        <v>41214</v>
      </c>
    </row>
    <row r="1017">
      <c r="A1017" s="4">
        <v>41244.0</v>
      </c>
      <c r="B1017" s="3">
        <v>2012.0</v>
      </c>
      <c r="C1017" s="3">
        <v>12.0</v>
      </c>
      <c r="D1017" s="3" t="s">
        <v>12</v>
      </c>
      <c r="E1017" s="3">
        <v>4.98</v>
      </c>
      <c r="F1017" s="3">
        <v>6.12</v>
      </c>
      <c r="G1017" s="3">
        <v>81.4</v>
      </c>
      <c r="H1017" s="5" t="str">
        <f t="shared" si="1"/>
        <v>December 2012</v>
      </c>
      <c r="I1017" s="6">
        <f t="shared" si="2"/>
        <v>41244</v>
      </c>
    </row>
    <row r="1018">
      <c r="A1018" s="2">
        <v>41275.0</v>
      </c>
      <c r="B1018" s="3">
        <v>2013.0</v>
      </c>
      <c r="C1018" s="3">
        <v>1.0</v>
      </c>
      <c r="D1018" s="3" t="s">
        <v>12</v>
      </c>
      <c r="E1018" s="3">
        <v>4.48</v>
      </c>
      <c r="F1018" s="3">
        <v>5.59</v>
      </c>
      <c r="G1018" s="3">
        <v>80.2</v>
      </c>
      <c r="H1018" s="5" t="str">
        <f t="shared" si="1"/>
        <v>January 2013</v>
      </c>
      <c r="I1018" s="6">
        <f t="shared" si="2"/>
        <v>41275</v>
      </c>
    </row>
    <row r="1019">
      <c r="A1019" s="2">
        <v>41306.0</v>
      </c>
      <c r="B1019" s="3">
        <v>2013.0</v>
      </c>
      <c r="C1019" s="3">
        <v>2.0</v>
      </c>
      <c r="D1019" s="3" t="s">
        <v>12</v>
      </c>
      <c r="E1019" s="3">
        <v>4.83</v>
      </c>
      <c r="F1019" s="3">
        <v>5.84</v>
      </c>
      <c r="G1019" s="3">
        <v>82.8</v>
      </c>
      <c r="H1019" s="5" t="str">
        <f t="shared" si="1"/>
        <v>February 2013</v>
      </c>
      <c r="I1019" s="6">
        <f t="shared" si="2"/>
        <v>41306</v>
      </c>
    </row>
    <row r="1020">
      <c r="A1020" s="2">
        <v>41334.0</v>
      </c>
      <c r="B1020" s="3">
        <v>2013.0</v>
      </c>
      <c r="C1020" s="3">
        <v>3.0</v>
      </c>
      <c r="D1020" s="3" t="s">
        <v>12</v>
      </c>
      <c r="E1020" s="3">
        <v>4.56</v>
      </c>
      <c r="F1020" s="3">
        <v>5.77</v>
      </c>
      <c r="G1020" s="3">
        <v>78.9</v>
      </c>
      <c r="H1020" s="5" t="str">
        <f t="shared" si="1"/>
        <v>March 2013</v>
      </c>
      <c r="I1020" s="6">
        <f t="shared" si="2"/>
        <v>41334</v>
      </c>
    </row>
    <row r="1021">
      <c r="A1021" s="2">
        <v>41365.0</v>
      </c>
      <c r="B1021" s="3">
        <v>2013.0</v>
      </c>
      <c r="C1021" s="3">
        <v>4.0</v>
      </c>
      <c r="D1021" s="3" t="s">
        <v>12</v>
      </c>
      <c r="E1021" s="3">
        <v>5.05</v>
      </c>
      <c r="F1021" s="3">
        <v>5.93</v>
      </c>
      <c r="G1021" s="3">
        <v>85.1</v>
      </c>
      <c r="H1021" s="5" t="str">
        <f t="shared" si="1"/>
        <v>April 2013</v>
      </c>
      <c r="I1021" s="6">
        <f t="shared" si="2"/>
        <v>41365</v>
      </c>
    </row>
    <row r="1022">
      <c r="A1022" s="2">
        <v>41395.0</v>
      </c>
      <c r="B1022" s="3">
        <v>2013.0</v>
      </c>
      <c r="C1022" s="3">
        <v>5.0</v>
      </c>
      <c r="D1022" s="3" t="s">
        <v>12</v>
      </c>
      <c r="E1022" s="3">
        <v>5.47</v>
      </c>
      <c r="F1022" s="3">
        <v>6.46</v>
      </c>
      <c r="G1022" s="3">
        <v>84.6</v>
      </c>
      <c r="H1022" s="5" t="str">
        <f t="shared" si="1"/>
        <v>May 2013</v>
      </c>
      <c r="I1022" s="6">
        <f t="shared" si="2"/>
        <v>41395</v>
      </c>
    </row>
    <row r="1023">
      <c r="A1023" s="2">
        <v>41426.0</v>
      </c>
      <c r="B1023" s="3">
        <v>2013.0</v>
      </c>
      <c r="C1023" s="3">
        <v>6.0</v>
      </c>
      <c r="D1023" s="3" t="s">
        <v>12</v>
      </c>
      <c r="E1023" s="3">
        <v>6.0</v>
      </c>
      <c r="F1023" s="3">
        <v>7.24</v>
      </c>
      <c r="G1023" s="3">
        <v>82.9</v>
      </c>
      <c r="H1023" s="5" t="str">
        <f t="shared" si="1"/>
        <v>June 2013</v>
      </c>
      <c r="I1023" s="6">
        <f t="shared" si="2"/>
        <v>41426</v>
      </c>
    </row>
    <row r="1024">
      <c r="A1024" s="2">
        <v>41456.0</v>
      </c>
      <c r="B1024" s="3">
        <v>2013.0</v>
      </c>
      <c r="C1024" s="3">
        <v>7.0</v>
      </c>
      <c r="D1024" s="3" t="s">
        <v>12</v>
      </c>
      <c r="E1024" s="3">
        <v>6.02</v>
      </c>
      <c r="F1024" s="3">
        <v>7.18</v>
      </c>
      <c r="G1024" s="3">
        <v>83.9</v>
      </c>
      <c r="H1024" s="5" t="str">
        <f t="shared" si="1"/>
        <v>July 2013</v>
      </c>
      <c r="I1024" s="6">
        <f t="shared" si="2"/>
        <v>41456</v>
      </c>
    </row>
    <row r="1025">
      <c r="A1025" s="2">
        <v>41487.0</v>
      </c>
      <c r="B1025" s="3">
        <v>2013.0</v>
      </c>
      <c r="C1025" s="3">
        <v>8.0</v>
      </c>
      <c r="D1025" s="3" t="s">
        <v>12</v>
      </c>
      <c r="E1025" s="3">
        <v>6.35</v>
      </c>
      <c r="F1025" s="3">
        <v>7.58</v>
      </c>
      <c r="G1025" s="3">
        <v>83.7</v>
      </c>
      <c r="H1025" s="5" t="str">
        <f t="shared" si="1"/>
        <v>August 2013</v>
      </c>
      <c r="I1025" s="6">
        <f t="shared" si="2"/>
        <v>41487</v>
      </c>
    </row>
    <row r="1026">
      <c r="A1026" s="2">
        <v>41518.0</v>
      </c>
      <c r="B1026" s="3">
        <v>2013.0</v>
      </c>
      <c r="C1026" s="3">
        <v>9.0</v>
      </c>
      <c r="D1026" s="3" t="s">
        <v>12</v>
      </c>
      <c r="E1026" s="3">
        <v>6.17</v>
      </c>
      <c r="F1026" s="3">
        <v>7.5</v>
      </c>
      <c r="G1026" s="3">
        <v>82.4</v>
      </c>
      <c r="H1026" s="5" t="str">
        <f t="shared" si="1"/>
        <v>September 2013</v>
      </c>
      <c r="I1026" s="6">
        <f t="shared" si="2"/>
        <v>41518</v>
      </c>
    </row>
    <row r="1027">
      <c r="A1027" s="4">
        <v>41548.0</v>
      </c>
      <c r="B1027" s="3">
        <v>2013.0</v>
      </c>
      <c r="C1027" s="3">
        <v>10.0</v>
      </c>
      <c r="D1027" s="3" t="s">
        <v>12</v>
      </c>
      <c r="E1027" s="3">
        <v>6.11</v>
      </c>
      <c r="F1027" s="3">
        <v>7.48</v>
      </c>
      <c r="G1027" s="3">
        <v>81.7</v>
      </c>
      <c r="H1027" s="5" t="str">
        <f t="shared" si="1"/>
        <v>October 2013</v>
      </c>
      <c r="I1027" s="6">
        <f t="shared" si="2"/>
        <v>41548</v>
      </c>
    </row>
    <row r="1028">
      <c r="A1028" s="4">
        <v>41579.0</v>
      </c>
      <c r="B1028" s="3">
        <v>2013.0</v>
      </c>
      <c r="C1028" s="3">
        <v>11.0</v>
      </c>
      <c r="D1028" s="3" t="s">
        <v>12</v>
      </c>
      <c r="E1028" s="3">
        <v>5.72</v>
      </c>
      <c r="F1028" s="3">
        <v>7.02</v>
      </c>
      <c r="G1028" s="3">
        <v>81.5</v>
      </c>
      <c r="H1028" s="5" t="str">
        <f t="shared" si="1"/>
        <v>November 2013</v>
      </c>
      <c r="I1028" s="6">
        <f t="shared" si="2"/>
        <v>41579</v>
      </c>
    </row>
    <row r="1029">
      <c r="A1029" s="4">
        <v>41609.0</v>
      </c>
      <c r="B1029" s="3">
        <v>2013.0</v>
      </c>
      <c r="C1029" s="3">
        <v>12.0</v>
      </c>
      <c r="D1029" s="3" t="s">
        <v>12</v>
      </c>
      <c r="E1029" s="3">
        <v>5.15</v>
      </c>
      <c r="F1029" s="3">
        <v>6.04</v>
      </c>
      <c r="G1029" s="3">
        <v>85.2</v>
      </c>
      <c r="H1029" s="5" t="str">
        <f t="shared" si="1"/>
        <v>December 2013</v>
      </c>
      <c r="I1029" s="6">
        <f t="shared" si="2"/>
        <v>41609</v>
      </c>
    </row>
    <row r="1030">
      <c r="A1030" s="2">
        <v>41640.0</v>
      </c>
      <c r="B1030" s="3">
        <v>2014.0</v>
      </c>
      <c r="C1030" s="3">
        <v>1.0</v>
      </c>
      <c r="D1030" s="3" t="s">
        <v>12</v>
      </c>
      <c r="E1030" s="3">
        <v>5.12</v>
      </c>
      <c r="F1030" s="3">
        <v>6.36</v>
      </c>
      <c r="G1030" s="3">
        <v>80.5</v>
      </c>
      <c r="H1030" s="5" t="str">
        <f t="shared" si="1"/>
        <v>January 2014</v>
      </c>
      <c r="I1030" s="6">
        <f t="shared" si="2"/>
        <v>41640</v>
      </c>
    </row>
    <row r="1031">
      <c r="A1031" s="2">
        <v>41671.0</v>
      </c>
      <c r="B1031" s="3">
        <v>2014.0</v>
      </c>
      <c r="C1031" s="3">
        <v>2.0</v>
      </c>
      <c r="D1031" s="3" t="s">
        <v>12</v>
      </c>
      <c r="E1031" s="3">
        <v>4.95</v>
      </c>
      <c r="F1031" s="3">
        <v>6.15</v>
      </c>
      <c r="G1031" s="3">
        <v>80.5</v>
      </c>
      <c r="H1031" s="5" t="str">
        <f t="shared" si="1"/>
        <v>February 2014</v>
      </c>
      <c r="I1031" s="6">
        <f t="shared" si="2"/>
        <v>41671</v>
      </c>
    </row>
    <row r="1032">
      <c r="A1032" s="2">
        <v>41699.0</v>
      </c>
      <c r="B1032" s="3">
        <v>2014.0</v>
      </c>
      <c r="C1032" s="3">
        <v>3.0</v>
      </c>
      <c r="D1032" s="3" t="s">
        <v>12</v>
      </c>
      <c r="E1032" s="3">
        <v>4.83</v>
      </c>
      <c r="F1032" s="3">
        <v>5.74</v>
      </c>
      <c r="G1032" s="3">
        <v>84.1</v>
      </c>
      <c r="H1032" s="5" t="str">
        <f t="shared" si="1"/>
        <v>March 2014</v>
      </c>
      <c r="I1032" s="6">
        <f t="shared" si="2"/>
        <v>41699</v>
      </c>
    </row>
    <row r="1033">
      <c r="A1033" s="2">
        <v>41730.0</v>
      </c>
      <c r="B1033" s="3">
        <v>2014.0</v>
      </c>
      <c r="C1033" s="3">
        <v>4.0</v>
      </c>
      <c r="D1033" s="3" t="s">
        <v>12</v>
      </c>
      <c r="E1033" s="3">
        <v>5.08</v>
      </c>
      <c r="F1033" s="3">
        <v>6.05</v>
      </c>
      <c r="G1033" s="3">
        <v>83.9</v>
      </c>
      <c r="H1033" s="5" t="str">
        <f t="shared" si="1"/>
        <v>April 2014</v>
      </c>
      <c r="I1033" s="6">
        <f t="shared" si="2"/>
        <v>41730</v>
      </c>
    </row>
    <row r="1034">
      <c r="A1034" s="2">
        <v>41760.0</v>
      </c>
      <c r="B1034" s="3">
        <v>2014.0</v>
      </c>
      <c r="C1034" s="3">
        <v>5.0</v>
      </c>
      <c r="D1034" s="3" t="s">
        <v>12</v>
      </c>
      <c r="E1034" s="3">
        <v>5.76</v>
      </c>
      <c r="F1034" s="3">
        <v>7.06</v>
      </c>
      <c r="G1034" s="3">
        <v>81.6</v>
      </c>
      <c r="H1034" s="5" t="str">
        <f t="shared" si="1"/>
        <v>May 2014</v>
      </c>
      <c r="I1034" s="6">
        <f t="shared" si="2"/>
        <v>41760</v>
      </c>
    </row>
    <row r="1035">
      <c r="A1035" s="2">
        <v>41791.0</v>
      </c>
      <c r="B1035" s="3">
        <v>2014.0</v>
      </c>
      <c r="C1035" s="3">
        <v>6.0</v>
      </c>
      <c r="D1035" s="3" t="s">
        <v>12</v>
      </c>
      <c r="E1035" s="3">
        <v>6.34</v>
      </c>
      <c r="F1035" s="3">
        <v>7.62</v>
      </c>
      <c r="G1035" s="3">
        <v>83.2</v>
      </c>
      <c r="H1035" s="5" t="str">
        <f t="shared" si="1"/>
        <v>June 2014</v>
      </c>
      <c r="I1035" s="6">
        <f t="shared" si="2"/>
        <v>41791</v>
      </c>
    </row>
    <row r="1036">
      <c r="A1036" s="2">
        <v>41821.0</v>
      </c>
      <c r="B1036" s="3">
        <v>2014.0</v>
      </c>
      <c r="C1036" s="3">
        <v>7.0</v>
      </c>
      <c r="D1036" s="3" t="s">
        <v>12</v>
      </c>
      <c r="E1036" s="3">
        <v>6.45</v>
      </c>
      <c r="F1036" s="3">
        <v>7.73</v>
      </c>
      <c r="G1036" s="3">
        <v>83.4</v>
      </c>
      <c r="H1036" s="5" t="str">
        <f t="shared" si="1"/>
        <v>July 2014</v>
      </c>
      <c r="I1036" s="6">
        <f t="shared" si="2"/>
        <v>41821</v>
      </c>
    </row>
    <row r="1037">
      <c r="A1037" s="2">
        <v>41852.0</v>
      </c>
      <c r="B1037" s="3">
        <v>2014.0</v>
      </c>
      <c r="C1037" s="3">
        <v>8.0</v>
      </c>
      <c r="D1037" s="3" t="s">
        <v>12</v>
      </c>
      <c r="E1037" s="3">
        <v>6.78</v>
      </c>
      <c r="F1037" s="3">
        <v>8.53</v>
      </c>
      <c r="G1037" s="3">
        <v>79.5</v>
      </c>
      <c r="H1037" s="5" t="str">
        <f t="shared" si="1"/>
        <v>August 2014</v>
      </c>
      <c r="I1037" s="6">
        <f t="shared" si="2"/>
        <v>41852</v>
      </c>
    </row>
    <row r="1038">
      <c r="A1038" s="2">
        <v>41883.0</v>
      </c>
      <c r="B1038" s="3">
        <v>2014.0</v>
      </c>
      <c r="C1038" s="3">
        <v>9.0</v>
      </c>
      <c r="D1038" s="3" t="s">
        <v>12</v>
      </c>
      <c r="E1038" s="3">
        <v>6.63</v>
      </c>
      <c r="F1038" s="3">
        <v>7.82</v>
      </c>
      <c r="G1038" s="3">
        <v>84.8</v>
      </c>
      <c r="H1038" s="5" t="str">
        <f t="shared" si="1"/>
        <v>September 2014</v>
      </c>
      <c r="I1038" s="6">
        <f t="shared" si="2"/>
        <v>41883</v>
      </c>
    </row>
    <row r="1039">
      <c r="A1039" s="4">
        <v>41913.0</v>
      </c>
      <c r="B1039" s="3">
        <v>2014.0</v>
      </c>
      <c r="C1039" s="3">
        <v>10.0</v>
      </c>
      <c r="D1039" s="3" t="s">
        <v>12</v>
      </c>
      <c r="E1039" s="3">
        <v>6.7</v>
      </c>
      <c r="F1039" s="3">
        <v>8.03</v>
      </c>
      <c r="G1039" s="3">
        <v>83.4</v>
      </c>
      <c r="H1039" s="5" t="str">
        <f t="shared" si="1"/>
        <v>October 2014</v>
      </c>
      <c r="I1039" s="6">
        <f t="shared" si="2"/>
        <v>41913</v>
      </c>
    </row>
    <row r="1040">
      <c r="A1040" s="4">
        <v>41944.0</v>
      </c>
      <c r="B1040" s="3">
        <v>2014.0</v>
      </c>
      <c r="C1040" s="3">
        <v>11.0</v>
      </c>
      <c r="D1040" s="3" t="s">
        <v>12</v>
      </c>
      <c r="E1040" s="3">
        <v>5.74</v>
      </c>
      <c r="F1040" s="3">
        <v>6.92</v>
      </c>
      <c r="G1040" s="3">
        <v>83.0</v>
      </c>
      <c r="H1040" s="5" t="str">
        <f t="shared" si="1"/>
        <v>November 2014</v>
      </c>
      <c r="I1040" s="6">
        <f t="shared" si="2"/>
        <v>41944</v>
      </c>
    </row>
    <row r="1041">
      <c r="A1041" s="4">
        <v>41974.0</v>
      </c>
      <c r="B1041" s="3">
        <v>2014.0</v>
      </c>
      <c r="C1041" s="3">
        <v>12.0</v>
      </c>
      <c r="D1041" s="3" t="s">
        <v>12</v>
      </c>
      <c r="E1041" s="3">
        <v>5.67</v>
      </c>
      <c r="F1041" s="3">
        <v>6.79</v>
      </c>
      <c r="G1041" s="3">
        <v>83.5</v>
      </c>
      <c r="H1041" s="5" t="str">
        <f t="shared" si="1"/>
        <v>December 2014</v>
      </c>
      <c r="I1041" s="6">
        <f t="shared" si="2"/>
        <v>41974</v>
      </c>
    </row>
    <row r="1042">
      <c r="A1042" s="2">
        <v>42005.0</v>
      </c>
      <c r="B1042" s="3">
        <v>2015.0</v>
      </c>
      <c r="C1042" s="3">
        <v>1.0</v>
      </c>
      <c r="D1042" s="3" t="s">
        <v>12</v>
      </c>
      <c r="E1042" s="3">
        <v>5.34</v>
      </c>
      <c r="F1042" s="3">
        <v>6.46</v>
      </c>
      <c r="G1042" s="3">
        <v>82.7</v>
      </c>
      <c r="H1042" s="5" t="str">
        <f t="shared" si="1"/>
        <v>January 2015</v>
      </c>
      <c r="I1042" s="6">
        <f t="shared" si="2"/>
        <v>42005</v>
      </c>
    </row>
    <row r="1043">
      <c r="A1043" s="2">
        <v>42036.0</v>
      </c>
      <c r="B1043" s="3">
        <v>2015.0</v>
      </c>
      <c r="C1043" s="3">
        <v>2.0</v>
      </c>
      <c r="D1043" s="3" t="s">
        <v>12</v>
      </c>
      <c r="E1043" s="3">
        <v>5.11</v>
      </c>
      <c r="F1043" s="3">
        <v>6.32</v>
      </c>
      <c r="G1043" s="3">
        <v>80.8</v>
      </c>
      <c r="H1043" s="5" t="str">
        <f t="shared" si="1"/>
        <v>February 2015</v>
      </c>
      <c r="I1043" s="6">
        <f t="shared" si="2"/>
        <v>42036</v>
      </c>
    </row>
    <row r="1044">
      <c r="A1044" s="2">
        <v>42064.0</v>
      </c>
      <c r="B1044" s="3">
        <v>2015.0</v>
      </c>
      <c r="C1044" s="3">
        <v>3.0</v>
      </c>
      <c r="D1044" s="3" t="s">
        <v>12</v>
      </c>
      <c r="E1044" s="3">
        <v>4.97</v>
      </c>
      <c r="F1044" s="3">
        <v>6.01</v>
      </c>
      <c r="G1044" s="3">
        <v>82.7</v>
      </c>
      <c r="H1044" s="5" t="str">
        <f t="shared" si="1"/>
        <v>March 2015</v>
      </c>
      <c r="I1044" s="6">
        <f t="shared" si="2"/>
        <v>42064</v>
      </c>
    </row>
    <row r="1045">
      <c r="A1045" s="2">
        <v>42095.0</v>
      </c>
      <c r="B1045" s="3">
        <v>2015.0</v>
      </c>
      <c r="C1045" s="3">
        <v>4.0</v>
      </c>
      <c r="D1045" s="3" t="s">
        <v>12</v>
      </c>
      <c r="E1045" s="3">
        <v>5.64</v>
      </c>
      <c r="F1045" s="3">
        <v>6.78</v>
      </c>
      <c r="G1045" s="3">
        <v>83.1</v>
      </c>
      <c r="H1045" s="5" t="str">
        <f t="shared" si="1"/>
        <v>April 2015</v>
      </c>
      <c r="I1045" s="6">
        <f t="shared" si="2"/>
        <v>42095</v>
      </c>
    </row>
    <row r="1046">
      <c r="A1046" s="2">
        <v>42125.0</v>
      </c>
      <c r="B1046" s="3">
        <v>2015.0</v>
      </c>
      <c r="C1046" s="3">
        <v>5.0</v>
      </c>
      <c r="D1046" s="3" t="s">
        <v>12</v>
      </c>
      <c r="E1046" s="3">
        <v>5.84</v>
      </c>
      <c r="F1046" s="3">
        <v>7.02</v>
      </c>
      <c r="G1046" s="3">
        <v>83.3</v>
      </c>
      <c r="H1046" s="5" t="str">
        <f t="shared" si="1"/>
        <v>May 2015</v>
      </c>
      <c r="I1046" s="6">
        <f t="shared" si="2"/>
        <v>42125</v>
      </c>
    </row>
    <row r="1047">
      <c r="A1047" s="2">
        <v>42156.0</v>
      </c>
      <c r="B1047" s="3">
        <v>2015.0</v>
      </c>
      <c r="C1047" s="3">
        <v>6.0</v>
      </c>
      <c r="D1047" s="3" t="s">
        <v>12</v>
      </c>
      <c r="E1047" s="3">
        <v>6.98</v>
      </c>
      <c r="F1047" s="3">
        <v>8.49</v>
      </c>
      <c r="G1047" s="3">
        <v>82.2</v>
      </c>
      <c r="H1047" s="5" t="str">
        <f t="shared" si="1"/>
        <v>June 2015</v>
      </c>
      <c r="I1047" s="6">
        <f t="shared" si="2"/>
        <v>42156</v>
      </c>
    </row>
    <row r="1048">
      <c r="A1048" s="2">
        <v>42186.0</v>
      </c>
      <c r="B1048" s="3">
        <v>2015.0</v>
      </c>
      <c r="C1048" s="3">
        <v>7.0</v>
      </c>
      <c r="D1048" s="3" t="s">
        <v>12</v>
      </c>
      <c r="E1048" s="3">
        <v>6.91</v>
      </c>
      <c r="F1048" s="3">
        <v>8.36</v>
      </c>
      <c r="G1048" s="3">
        <v>82.6</v>
      </c>
      <c r="H1048" s="5" t="str">
        <f t="shared" si="1"/>
        <v>July 2015</v>
      </c>
      <c r="I1048" s="6">
        <f t="shared" si="2"/>
        <v>42186</v>
      </c>
    </row>
    <row r="1049">
      <c r="A1049" s="2">
        <v>42217.0</v>
      </c>
      <c r="B1049" s="3">
        <v>2015.0</v>
      </c>
      <c r="C1049" s="3">
        <v>8.0</v>
      </c>
      <c r="D1049" s="3" t="s">
        <v>12</v>
      </c>
      <c r="E1049" s="3">
        <v>7.51</v>
      </c>
      <c r="F1049" s="3">
        <v>9.4</v>
      </c>
      <c r="G1049" s="3">
        <v>80.0</v>
      </c>
      <c r="H1049" s="5" t="str">
        <f t="shared" si="1"/>
        <v>August 2015</v>
      </c>
      <c r="I1049" s="6">
        <f t="shared" si="2"/>
        <v>42217</v>
      </c>
    </row>
    <row r="1050">
      <c r="A1050" s="2">
        <v>42248.0</v>
      </c>
      <c r="B1050" s="3">
        <v>2015.0</v>
      </c>
      <c r="C1050" s="3">
        <v>9.0</v>
      </c>
      <c r="D1050" s="3" t="s">
        <v>12</v>
      </c>
      <c r="E1050" s="3">
        <v>7.01</v>
      </c>
      <c r="F1050" s="3">
        <v>8.72</v>
      </c>
      <c r="G1050" s="3">
        <v>80.4</v>
      </c>
      <c r="H1050" s="5" t="str">
        <f t="shared" si="1"/>
        <v>September 2015</v>
      </c>
      <c r="I1050" s="6">
        <f t="shared" si="2"/>
        <v>42248</v>
      </c>
    </row>
    <row r="1051">
      <c r="A1051" s="4">
        <v>42278.0</v>
      </c>
      <c r="B1051" s="3">
        <v>2015.0</v>
      </c>
      <c r="C1051" s="3">
        <v>10.0</v>
      </c>
      <c r="D1051" s="3" t="s">
        <v>12</v>
      </c>
      <c r="E1051" s="3">
        <v>6.54</v>
      </c>
      <c r="F1051" s="3">
        <v>7.99</v>
      </c>
      <c r="G1051" s="3">
        <v>81.9</v>
      </c>
      <c r="H1051" s="5" t="str">
        <f t="shared" si="1"/>
        <v>October 2015</v>
      </c>
      <c r="I1051" s="6">
        <f t="shared" si="2"/>
        <v>42278</v>
      </c>
    </row>
    <row r="1052">
      <c r="A1052" s="4">
        <v>42309.0</v>
      </c>
      <c r="B1052" s="3">
        <v>2015.0</v>
      </c>
      <c r="C1052" s="3">
        <v>11.0</v>
      </c>
      <c r="D1052" s="3" t="s">
        <v>12</v>
      </c>
      <c r="E1052" s="3">
        <v>6.46</v>
      </c>
      <c r="F1052" s="3">
        <v>7.55</v>
      </c>
      <c r="G1052" s="3">
        <v>85.6</v>
      </c>
      <c r="H1052" s="5" t="str">
        <f t="shared" si="1"/>
        <v>November 2015</v>
      </c>
      <c r="I1052" s="6">
        <f t="shared" si="2"/>
        <v>42309</v>
      </c>
    </row>
    <row r="1053">
      <c r="A1053" s="4">
        <v>42339.0</v>
      </c>
      <c r="B1053" s="3">
        <v>2015.0</v>
      </c>
      <c r="C1053" s="3">
        <v>12.0</v>
      </c>
      <c r="D1053" s="3" t="s">
        <v>12</v>
      </c>
      <c r="E1053" s="3">
        <v>5.84</v>
      </c>
      <c r="F1053" s="3">
        <v>7.19</v>
      </c>
      <c r="G1053" s="3">
        <v>81.2</v>
      </c>
      <c r="H1053" s="5" t="str">
        <f t="shared" si="1"/>
        <v>December 2015</v>
      </c>
      <c r="I1053" s="6">
        <f t="shared" si="2"/>
        <v>42339</v>
      </c>
    </row>
    <row r="1054">
      <c r="A1054" s="2">
        <v>42370.0</v>
      </c>
      <c r="B1054" s="3">
        <v>2016.0</v>
      </c>
      <c r="C1054" s="3">
        <v>1.0</v>
      </c>
      <c r="D1054" s="3" t="s">
        <v>12</v>
      </c>
      <c r="E1054" s="3">
        <v>5.86</v>
      </c>
      <c r="F1054" s="3">
        <v>7.22</v>
      </c>
      <c r="G1054" s="3">
        <v>81.1</v>
      </c>
      <c r="H1054" s="5" t="str">
        <f t="shared" si="1"/>
        <v>January 2016</v>
      </c>
      <c r="I1054" s="6">
        <f t="shared" si="2"/>
        <v>42370</v>
      </c>
    </row>
    <row r="1055">
      <c r="A1055" s="2">
        <v>42401.0</v>
      </c>
      <c r="B1055" s="3">
        <v>2016.0</v>
      </c>
      <c r="C1055" s="3">
        <v>2.0</v>
      </c>
      <c r="D1055" s="3" t="s">
        <v>12</v>
      </c>
      <c r="E1055" s="3">
        <v>5.24</v>
      </c>
      <c r="F1055" s="3">
        <v>6.68</v>
      </c>
      <c r="G1055" s="3">
        <v>78.5</v>
      </c>
      <c r="H1055" s="5" t="str">
        <f t="shared" si="1"/>
        <v>February 2016</v>
      </c>
      <c r="I1055" s="6">
        <f t="shared" si="2"/>
        <v>42401</v>
      </c>
    </row>
    <row r="1056">
      <c r="A1056" s="2">
        <v>42430.0</v>
      </c>
      <c r="B1056" s="3">
        <v>2016.0</v>
      </c>
      <c r="C1056" s="3">
        <v>3.0</v>
      </c>
      <c r="D1056" s="3" t="s">
        <v>12</v>
      </c>
      <c r="E1056" s="3">
        <v>5.71</v>
      </c>
      <c r="F1056" s="3">
        <v>6.8</v>
      </c>
      <c r="G1056" s="3">
        <v>83.9</v>
      </c>
      <c r="H1056" s="5" t="str">
        <f t="shared" si="1"/>
        <v>March 2016</v>
      </c>
      <c r="I1056" s="6">
        <f t="shared" si="2"/>
        <v>42430</v>
      </c>
    </row>
    <row r="1057">
      <c r="A1057" s="2">
        <v>42461.0</v>
      </c>
      <c r="B1057" s="3">
        <v>2016.0</v>
      </c>
      <c r="C1057" s="3">
        <v>4.0</v>
      </c>
      <c r="D1057" s="3" t="s">
        <v>12</v>
      </c>
      <c r="E1057" s="3">
        <v>6.28</v>
      </c>
      <c r="F1057" s="3">
        <v>7.93</v>
      </c>
      <c r="G1057" s="3">
        <v>79.2</v>
      </c>
      <c r="H1057" s="5" t="str">
        <f t="shared" si="1"/>
        <v>April 2016</v>
      </c>
      <c r="I1057" s="6">
        <f t="shared" si="2"/>
        <v>42461</v>
      </c>
    </row>
    <row r="1058">
      <c r="A1058" s="2">
        <v>42491.0</v>
      </c>
      <c r="B1058" s="3">
        <v>2016.0</v>
      </c>
      <c r="C1058" s="3">
        <v>5.0</v>
      </c>
      <c r="D1058" s="3" t="s">
        <v>12</v>
      </c>
      <c r="E1058" s="3">
        <v>6.62</v>
      </c>
      <c r="F1058" s="3">
        <v>8.06</v>
      </c>
      <c r="G1058" s="3">
        <v>82.1</v>
      </c>
      <c r="H1058" s="5" t="str">
        <f t="shared" si="1"/>
        <v>May 2016</v>
      </c>
      <c r="I1058" s="6">
        <f t="shared" si="2"/>
        <v>42491</v>
      </c>
    </row>
    <row r="1059">
      <c r="A1059" s="2">
        <v>42522.0</v>
      </c>
      <c r="B1059" s="3">
        <v>2016.0</v>
      </c>
      <c r="C1059" s="3">
        <v>6.0</v>
      </c>
      <c r="D1059" s="3" t="s">
        <v>12</v>
      </c>
      <c r="E1059" s="3">
        <v>7.0</v>
      </c>
      <c r="F1059" s="3">
        <v>8.89</v>
      </c>
      <c r="G1059" s="3">
        <v>78.7</v>
      </c>
      <c r="H1059" s="5" t="str">
        <f t="shared" si="1"/>
        <v>June 2016</v>
      </c>
      <c r="I1059" s="6">
        <f t="shared" si="2"/>
        <v>42522</v>
      </c>
    </row>
    <row r="1060">
      <c r="A1060" s="2">
        <v>42552.0</v>
      </c>
      <c r="B1060" s="3">
        <v>2016.0</v>
      </c>
      <c r="C1060" s="3">
        <v>7.0</v>
      </c>
      <c r="D1060" s="3" t="s">
        <v>12</v>
      </c>
      <c r="E1060" s="3">
        <v>7.53</v>
      </c>
      <c r="F1060" s="3">
        <v>9.01</v>
      </c>
      <c r="G1060" s="3">
        <v>83.6</v>
      </c>
      <c r="H1060" s="5" t="str">
        <f t="shared" si="1"/>
        <v>July 2016</v>
      </c>
      <c r="I1060" s="6">
        <f t="shared" si="2"/>
        <v>42552</v>
      </c>
    </row>
    <row r="1061">
      <c r="A1061" s="2">
        <v>42583.0</v>
      </c>
      <c r="B1061" s="3">
        <v>2016.0</v>
      </c>
      <c r="C1061" s="3">
        <v>8.0</v>
      </c>
      <c r="D1061" s="3" t="s">
        <v>12</v>
      </c>
      <c r="E1061" s="3">
        <v>7.35</v>
      </c>
      <c r="F1061" s="3">
        <v>8.82</v>
      </c>
      <c r="G1061" s="3">
        <v>83.3</v>
      </c>
      <c r="H1061" s="5" t="str">
        <f t="shared" si="1"/>
        <v>August 2016</v>
      </c>
      <c r="I1061" s="6">
        <f t="shared" si="2"/>
        <v>42583</v>
      </c>
    </row>
    <row r="1062">
      <c r="A1062" s="2">
        <v>42614.0</v>
      </c>
      <c r="B1062" s="3">
        <v>2016.0</v>
      </c>
      <c r="C1062" s="3">
        <v>9.0</v>
      </c>
      <c r="D1062" s="3" t="s">
        <v>12</v>
      </c>
      <c r="E1062" s="3">
        <v>7.09</v>
      </c>
      <c r="F1062" s="3">
        <v>8.76</v>
      </c>
      <c r="G1062" s="3">
        <v>80.8</v>
      </c>
      <c r="H1062" s="5" t="str">
        <f t="shared" si="1"/>
        <v>September 2016</v>
      </c>
      <c r="I1062" s="6">
        <f t="shared" si="2"/>
        <v>42614</v>
      </c>
    </row>
    <row r="1063">
      <c r="A1063" s="4">
        <v>42644.0</v>
      </c>
      <c r="B1063" s="3">
        <v>2016.0</v>
      </c>
      <c r="C1063" s="3">
        <v>10.0</v>
      </c>
      <c r="D1063" s="3" t="s">
        <v>12</v>
      </c>
      <c r="E1063" s="3">
        <v>6.82</v>
      </c>
      <c r="F1063" s="3">
        <v>8.72</v>
      </c>
      <c r="G1063" s="3">
        <v>78.3</v>
      </c>
      <c r="H1063" s="5" t="str">
        <f t="shared" si="1"/>
        <v>October 2016</v>
      </c>
      <c r="I1063" s="6">
        <f t="shared" si="2"/>
        <v>42644</v>
      </c>
    </row>
    <row r="1064">
      <c r="A1064" s="4">
        <v>42675.0</v>
      </c>
      <c r="B1064" s="3">
        <v>2016.0</v>
      </c>
      <c r="C1064" s="3">
        <v>11.0</v>
      </c>
      <c r="D1064" s="3" t="s">
        <v>12</v>
      </c>
      <c r="E1064" s="3">
        <v>6.63</v>
      </c>
      <c r="F1064" s="3">
        <v>7.85</v>
      </c>
      <c r="G1064" s="3">
        <v>84.4</v>
      </c>
      <c r="H1064" s="5" t="str">
        <f t="shared" si="1"/>
        <v>November 2016</v>
      </c>
      <c r="I1064" s="6">
        <f t="shared" si="2"/>
        <v>42675</v>
      </c>
    </row>
    <row r="1065">
      <c r="A1065" s="4">
        <v>42705.0</v>
      </c>
      <c r="B1065" s="3">
        <v>2016.0</v>
      </c>
      <c r="C1065" s="3">
        <v>12.0</v>
      </c>
      <c r="D1065" s="3" t="s">
        <v>12</v>
      </c>
      <c r="E1065" s="3">
        <v>5.87</v>
      </c>
      <c r="F1065" s="3">
        <v>7.1</v>
      </c>
      <c r="G1065" s="3">
        <v>82.7</v>
      </c>
      <c r="H1065" s="5" t="str">
        <f t="shared" si="1"/>
        <v>December 2016</v>
      </c>
      <c r="I1065" s="6">
        <f t="shared" si="2"/>
        <v>42705</v>
      </c>
    </row>
    <row r="1066">
      <c r="A1066" s="2">
        <v>42736.0</v>
      </c>
      <c r="B1066" s="3">
        <v>2017.0</v>
      </c>
      <c r="C1066" s="3">
        <v>1.0</v>
      </c>
      <c r="D1066" s="3" t="s">
        <v>12</v>
      </c>
      <c r="E1066" s="3">
        <v>5.61</v>
      </c>
      <c r="F1066" s="3">
        <v>6.79</v>
      </c>
      <c r="G1066" s="3">
        <v>82.7</v>
      </c>
      <c r="H1066" s="5" t="str">
        <f t="shared" si="1"/>
        <v>January 2017</v>
      </c>
      <c r="I1066" s="6">
        <f t="shared" si="2"/>
        <v>42736</v>
      </c>
    </row>
    <row r="1067">
      <c r="A1067" s="2">
        <v>42767.0</v>
      </c>
      <c r="B1067" s="3">
        <v>2017.0</v>
      </c>
      <c r="C1067" s="3">
        <v>2.0</v>
      </c>
      <c r="D1067" s="3" t="s">
        <v>12</v>
      </c>
      <c r="E1067" s="3">
        <v>5.44</v>
      </c>
      <c r="F1067" s="3">
        <v>6.78</v>
      </c>
      <c r="G1067" s="3">
        <v>80.2</v>
      </c>
      <c r="H1067" s="5" t="str">
        <f t="shared" si="1"/>
        <v>February 2017</v>
      </c>
      <c r="I1067" s="6">
        <f t="shared" si="2"/>
        <v>42767</v>
      </c>
    </row>
    <row r="1068">
      <c r="A1068" s="2">
        <v>42795.0</v>
      </c>
      <c r="B1068" s="3">
        <v>2017.0</v>
      </c>
      <c r="C1068" s="3">
        <v>3.0</v>
      </c>
      <c r="D1068" s="3" t="s">
        <v>12</v>
      </c>
      <c r="E1068" s="3">
        <v>5.87</v>
      </c>
      <c r="F1068" s="3">
        <v>7.18</v>
      </c>
      <c r="G1068" s="3">
        <v>81.9</v>
      </c>
      <c r="H1068" s="5" t="str">
        <f t="shared" si="1"/>
        <v>March 2017</v>
      </c>
      <c r="I1068" s="6">
        <f t="shared" si="2"/>
        <v>42795</v>
      </c>
    </row>
    <row r="1069">
      <c r="A1069" s="2">
        <v>42826.0</v>
      </c>
      <c r="B1069" s="3">
        <v>2017.0</v>
      </c>
      <c r="C1069" s="3">
        <v>4.0</v>
      </c>
      <c r="D1069" s="3" t="s">
        <v>12</v>
      </c>
      <c r="E1069" s="3">
        <v>6.45</v>
      </c>
      <c r="F1069" s="3">
        <v>7.86</v>
      </c>
      <c r="G1069" s="3">
        <v>82.1</v>
      </c>
      <c r="H1069" s="5" t="str">
        <f t="shared" si="1"/>
        <v>April 2017</v>
      </c>
      <c r="I1069" s="6">
        <f t="shared" si="2"/>
        <v>42826</v>
      </c>
    </row>
    <row r="1070">
      <c r="A1070" s="2">
        <v>42856.0</v>
      </c>
      <c r="B1070" s="3">
        <v>2017.0</v>
      </c>
      <c r="C1070" s="3">
        <v>5.0</v>
      </c>
      <c r="D1070" s="3" t="s">
        <v>12</v>
      </c>
      <c r="E1070" s="3">
        <v>6.4</v>
      </c>
      <c r="F1070" s="3">
        <v>7.58</v>
      </c>
      <c r="G1070" s="3">
        <v>84.5</v>
      </c>
      <c r="H1070" s="5" t="str">
        <f t="shared" si="1"/>
        <v>May 2017</v>
      </c>
      <c r="I1070" s="6">
        <f t="shared" si="2"/>
        <v>42856</v>
      </c>
    </row>
    <row r="1071">
      <c r="A1071" s="2">
        <v>42887.0</v>
      </c>
      <c r="B1071" s="3">
        <v>2017.0</v>
      </c>
      <c r="C1071" s="3">
        <v>6.0</v>
      </c>
      <c r="D1071" s="3" t="s">
        <v>12</v>
      </c>
      <c r="E1071" s="3">
        <v>7.24</v>
      </c>
      <c r="F1071" s="3">
        <v>8.67</v>
      </c>
      <c r="G1071" s="3">
        <v>83.5</v>
      </c>
      <c r="H1071" s="5" t="str">
        <f t="shared" si="1"/>
        <v>June 2017</v>
      </c>
      <c r="I1071" s="6">
        <f t="shared" si="2"/>
        <v>42887</v>
      </c>
    </row>
    <row r="1072">
      <c r="A1072" s="2">
        <v>42917.0</v>
      </c>
      <c r="B1072" s="3">
        <v>2017.0</v>
      </c>
      <c r="C1072" s="3">
        <v>7.0</v>
      </c>
      <c r="D1072" s="3" t="s">
        <v>12</v>
      </c>
      <c r="E1072" s="3">
        <v>7.76</v>
      </c>
      <c r="F1072" s="3">
        <v>9.61</v>
      </c>
      <c r="G1072" s="3">
        <v>80.7</v>
      </c>
      <c r="H1072" s="5" t="str">
        <f t="shared" si="1"/>
        <v>July 2017</v>
      </c>
      <c r="I1072" s="6">
        <f t="shared" si="2"/>
        <v>42917</v>
      </c>
    </row>
    <row r="1073">
      <c r="A1073" s="2">
        <v>42948.0</v>
      </c>
      <c r="B1073" s="3">
        <v>2017.0</v>
      </c>
      <c r="C1073" s="3">
        <v>8.0</v>
      </c>
      <c r="D1073" s="3" t="s">
        <v>12</v>
      </c>
      <c r="E1073" s="3">
        <v>7.61</v>
      </c>
      <c r="F1073" s="3">
        <v>9.32</v>
      </c>
      <c r="G1073" s="3">
        <v>81.7</v>
      </c>
      <c r="H1073" s="5" t="str">
        <f t="shared" si="1"/>
        <v>August 2017</v>
      </c>
      <c r="I1073" s="6">
        <f t="shared" si="2"/>
        <v>42948</v>
      </c>
    </row>
    <row r="1074">
      <c r="A1074" s="2">
        <v>42979.0</v>
      </c>
      <c r="B1074" s="3">
        <v>2017.0</v>
      </c>
      <c r="C1074" s="3">
        <v>9.0</v>
      </c>
      <c r="D1074" s="3" t="s">
        <v>12</v>
      </c>
      <c r="E1074" s="3">
        <v>7.25</v>
      </c>
      <c r="F1074" s="3">
        <v>8.89</v>
      </c>
      <c r="G1074" s="3">
        <v>81.5</v>
      </c>
      <c r="H1074" s="5" t="str">
        <f t="shared" si="1"/>
        <v>September 2017</v>
      </c>
      <c r="I1074" s="6">
        <f t="shared" si="2"/>
        <v>42979</v>
      </c>
    </row>
    <row r="1075">
      <c r="A1075" s="4">
        <v>43009.0</v>
      </c>
      <c r="B1075" s="3">
        <v>2017.0</v>
      </c>
      <c r="C1075" s="3">
        <v>10.0</v>
      </c>
      <c r="D1075" s="3" t="s">
        <v>12</v>
      </c>
      <c r="E1075" s="3">
        <v>7.48</v>
      </c>
      <c r="F1075" s="3">
        <v>9.07</v>
      </c>
      <c r="G1075" s="3">
        <v>82.5</v>
      </c>
      <c r="H1075" s="5" t="str">
        <f t="shared" si="1"/>
        <v>October 2017</v>
      </c>
      <c r="I1075" s="6">
        <f t="shared" si="2"/>
        <v>43009</v>
      </c>
    </row>
    <row r="1076">
      <c r="A1076" s="4">
        <v>43040.0</v>
      </c>
      <c r="B1076" s="3">
        <v>2017.0</v>
      </c>
      <c r="C1076" s="3">
        <v>11.0</v>
      </c>
      <c r="D1076" s="3" t="s">
        <v>12</v>
      </c>
      <c r="E1076" s="3">
        <v>6.44</v>
      </c>
      <c r="F1076" s="3">
        <v>8.17</v>
      </c>
      <c r="G1076" s="3">
        <v>78.9</v>
      </c>
      <c r="H1076" s="5" t="str">
        <f t="shared" si="1"/>
        <v>November 2017</v>
      </c>
      <c r="I1076" s="6">
        <f t="shared" si="2"/>
        <v>43040</v>
      </c>
    </row>
    <row r="1077">
      <c r="A1077" s="4">
        <v>43070.0</v>
      </c>
      <c r="B1077" s="3">
        <v>2017.0</v>
      </c>
      <c r="C1077" s="3">
        <v>12.0</v>
      </c>
      <c r="D1077" s="3" t="s">
        <v>12</v>
      </c>
      <c r="E1077" s="3">
        <v>6.54</v>
      </c>
      <c r="F1077" s="3">
        <v>8.0</v>
      </c>
      <c r="G1077" s="3">
        <v>81.8</v>
      </c>
      <c r="H1077" s="5" t="str">
        <f t="shared" si="1"/>
        <v>December 2017</v>
      </c>
      <c r="I1077" s="6">
        <f t="shared" si="2"/>
        <v>43070</v>
      </c>
    </row>
    <row r="1078">
      <c r="A1078" s="2">
        <v>43101.0</v>
      </c>
      <c r="B1078" s="3">
        <v>2018.0</v>
      </c>
      <c r="C1078" s="3">
        <v>1.0</v>
      </c>
      <c r="D1078" s="3" t="s">
        <v>12</v>
      </c>
      <c r="E1078" s="3">
        <v>5.76</v>
      </c>
      <c r="F1078" s="3">
        <v>7.07</v>
      </c>
      <c r="G1078" s="3">
        <v>81.5</v>
      </c>
      <c r="H1078" s="5" t="str">
        <f t="shared" si="1"/>
        <v>January 2018</v>
      </c>
      <c r="I1078" s="6">
        <f t="shared" si="2"/>
        <v>43101</v>
      </c>
    </row>
    <row r="1079">
      <c r="A1079" s="2">
        <v>43132.0</v>
      </c>
      <c r="B1079" s="3">
        <v>2018.0</v>
      </c>
      <c r="C1079" s="3">
        <v>2.0</v>
      </c>
      <c r="D1079" s="3" t="s">
        <v>12</v>
      </c>
      <c r="E1079" s="3">
        <v>5.51</v>
      </c>
      <c r="F1079" s="3">
        <v>6.49</v>
      </c>
      <c r="G1079" s="3">
        <v>84.8</v>
      </c>
      <c r="H1079" s="5" t="str">
        <f t="shared" si="1"/>
        <v>February 2018</v>
      </c>
      <c r="I1079" s="6">
        <f t="shared" si="2"/>
        <v>43132</v>
      </c>
    </row>
    <row r="1080">
      <c r="A1080" s="2">
        <v>43160.0</v>
      </c>
      <c r="B1080" s="3">
        <v>2018.0</v>
      </c>
      <c r="C1080" s="3">
        <v>3.0</v>
      </c>
      <c r="D1080" s="3" t="s">
        <v>12</v>
      </c>
      <c r="E1080" s="3">
        <v>5.84</v>
      </c>
      <c r="F1080" s="3">
        <v>6.89</v>
      </c>
      <c r="G1080" s="3">
        <v>84.7</v>
      </c>
      <c r="H1080" s="5" t="str">
        <f t="shared" si="1"/>
        <v>March 2018</v>
      </c>
      <c r="I1080" s="6">
        <f t="shared" si="2"/>
        <v>43160</v>
      </c>
    </row>
    <row r="1081">
      <c r="A1081" s="2">
        <v>43191.0</v>
      </c>
      <c r="B1081" s="3">
        <v>2018.0</v>
      </c>
      <c r="C1081" s="3">
        <v>4.0</v>
      </c>
      <c r="D1081" s="3" t="s">
        <v>12</v>
      </c>
      <c r="E1081" s="3">
        <v>6.31</v>
      </c>
      <c r="F1081" s="3">
        <v>7.44</v>
      </c>
      <c r="G1081" s="3">
        <v>84.9</v>
      </c>
      <c r="H1081" s="5" t="str">
        <f t="shared" si="1"/>
        <v>April 2018</v>
      </c>
      <c r="I1081" s="6">
        <f t="shared" si="2"/>
        <v>43191</v>
      </c>
    </row>
    <row r="1082">
      <c r="A1082" s="2">
        <v>43221.0</v>
      </c>
      <c r="B1082" s="3">
        <v>2018.0</v>
      </c>
      <c r="C1082" s="3">
        <v>5.0</v>
      </c>
      <c r="D1082" s="3" t="s">
        <v>12</v>
      </c>
      <c r="E1082" s="3">
        <v>6.89</v>
      </c>
      <c r="F1082" s="3">
        <v>8.23</v>
      </c>
      <c r="G1082" s="3">
        <v>83.7</v>
      </c>
      <c r="H1082" s="5" t="str">
        <f t="shared" si="1"/>
        <v>May 2018</v>
      </c>
      <c r="I1082" s="6">
        <f t="shared" si="2"/>
        <v>43221</v>
      </c>
    </row>
    <row r="1083">
      <c r="A1083" s="2">
        <v>43252.0</v>
      </c>
      <c r="B1083" s="3">
        <v>2018.0</v>
      </c>
      <c r="C1083" s="3">
        <v>6.0</v>
      </c>
      <c r="D1083" s="3" t="s">
        <v>12</v>
      </c>
      <c r="E1083" s="3">
        <v>7.53</v>
      </c>
      <c r="F1083" s="3">
        <v>9.04</v>
      </c>
      <c r="G1083" s="3">
        <v>83.2</v>
      </c>
      <c r="H1083" s="5" t="str">
        <f t="shared" si="1"/>
        <v>June 2018</v>
      </c>
      <c r="I1083" s="6">
        <f t="shared" si="2"/>
        <v>43252</v>
      </c>
    </row>
    <row r="1084">
      <c r="A1084" s="2">
        <v>43282.0</v>
      </c>
      <c r="B1084" s="3">
        <v>2018.0</v>
      </c>
      <c r="C1084" s="3">
        <v>7.0</v>
      </c>
      <c r="D1084" s="3" t="s">
        <v>12</v>
      </c>
      <c r="E1084" s="3">
        <v>7.85</v>
      </c>
      <c r="F1084" s="3">
        <v>9.63</v>
      </c>
      <c r="G1084" s="3">
        <v>81.5</v>
      </c>
      <c r="H1084" s="5" t="str">
        <f t="shared" si="1"/>
        <v>July 2018</v>
      </c>
      <c r="I1084" s="6">
        <f t="shared" si="2"/>
        <v>43282</v>
      </c>
    </row>
    <row r="1085">
      <c r="A1085" s="2">
        <v>43313.0</v>
      </c>
      <c r="B1085" s="3">
        <v>2018.0</v>
      </c>
      <c r="C1085" s="3">
        <v>8.0</v>
      </c>
      <c r="D1085" s="3" t="s">
        <v>12</v>
      </c>
      <c r="E1085" s="3">
        <v>8.4</v>
      </c>
      <c r="F1085" s="3">
        <v>10.47</v>
      </c>
      <c r="G1085" s="3">
        <v>80.2</v>
      </c>
      <c r="H1085" s="5" t="str">
        <f t="shared" si="1"/>
        <v>August 2018</v>
      </c>
      <c r="I1085" s="6">
        <f t="shared" si="2"/>
        <v>43313</v>
      </c>
    </row>
    <row r="1086">
      <c r="A1086" s="2">
        <v>43344.0</v>
      </c>
      <c r="B1086" s="3">
        <v>2018.0</v>
      </c>
      <c r="C1086" s="3">
        <v>9.0</v>
      </c>
      <c r="D1086" s="3" t="s">
        <v>12</v>
      </c>
      <c r="E1086" s="3">
        <v>7.82</v>
      </c>
      <c r="F1086" s="3">
        <v>9.53</v>
      </c>
      <c r="G1086" s="3">
        <v>82.0</v>
      </c>
      <c r="H1086" s="5" t="str">
        <f t="shared" si="1"/>
        <v>September 2018</v>
      </c>
      <c r="I1086" s="6">
        <f t="shared" si="2"/>
        <v>43344</v>
      </c>
    </row>
    <row r="1087">
      <c r="A1087" s="4">
        <v>43374.0</v>
      </c>
      <c r="B1087" s="3">
        <v>2018.0</v>
      </c>
      <c r="C1087" s="3">
        <v>10.0</v>
      </c>
      <c r="D1087" s="3" t="s">
        <v>12</v>
      </c>
      <c r="E1087" s="3">
        <v>7.55</v>
      </c>
      <c r="F1087" s="3">
        <v>9.3</v>
      </c>
      <c r="G1087" s="3">
        <v>81.1</v>
      </c>
      <c r="H1087" s="5" t="str">
        <f t="shared" si="1"/>
        <v>October 2018</v>
      </c>
      <c r="I1087" s="6">
        <f t="shared" si="2"/>
        <v>43374</v>
      </c>
    </row>
    <row r="1088">
      <c r="A1088" s="4">
        <v>43405.0</v>
      </c>
      <c r="B1088" s="3">
        <v>2018.0</v>
      </c>
      <c r="C1088" s="3">
        <v>11.0</v>
      </c>
      <c r="D1088" s="3" t="s">
        <v>12</v>
      </c>
      <c r="E1088" s="3">
        <v>7.02</v>
      </c>
      <c r="F1088" s="3">
        <v>8.6</v>
      </c>
      <c r="G1088" s="3">
        <v>81.7</v>
      </c>
      <c r="H1088" s="5" t="str">
        <f t="shared" si="1"/>
        <v>November 2018</v>
      </c>
      <c r="I1088" s="6">
        <f t="shared" si="2"/>
        <v>43405</v>
      </c>
    </row>
    <row r="1089">
      <c r="A1089" s="4">
        <v>43435.0</v>
      </c>
      <c r="B1089" s="3">
        <v>2018.0</v>
      </c>
      <c r="C1089" s="3">
        <v>12.0</v>
      </c>
      <c r="D1089" s="3" t="s">
        <v>12</v>
      </c>
      <c r="E1089" s="3">
        <v>6.16</v>
      </c>
      <c r="F1089" s="3">
        <v>7.51</v>
      </c>
      <c r="G1089" s="3">
        <v>82.0</v>
      </c>
      <c r="H1089" s="5" t="str">
        <f t="shared" si="1"/>
        <v>December 2018</v>
      </c>
      <c r="I1089" s="6">
        <f t="shared" si="2"/>
        <v>43435</v>
      </c>
    </row>
    <row r="1090">
      <c r="A1090" s="2">
        <v>43466.0</v>
      </c>
      <c r="B1090" s="3">
        <v>2019.0</v>
      </c>
      <c r="C1090" s="3">
        <v>1.0</v>
      </c>
      <c r="D1090" s="3" t="s">
        <v>12</v>
      </c>
      <c r="E1090" s="3">
        <v>5.89</v>
      </c>
      <c r="F1090" s="3">
        <v>7.5</v>
      </c>
      <c r="G1090" s="3">
        <v>78.5</v>
      </c>
      <c r="H1090" s="5" t="str">
        <f t="shared" si="1"/>
        <v>January 2019</v>
      </c>
      <c r="I1090" s="6">
        <f t="shared" si="2"/>
        <v>43466</v>
      </c>
    </row>
    <row r="1091">
      <c r="A1091" s="2">
        <v>43497.0</v>
      </c>
      <c r="B1091" s="3">
        <v>2019.0</v>
      </c>
      <c r="C1091" s="3">
        <v>2.0</v>
      </c>
      <c r="D1091" s="3" t="s">
        <v>12</v>
      </c>
      <c r="E1091" s="3">
        <v>5.65</v>
      </c>
      <c r="F1091" s="3">
        <v>6.81</v>
      </c>
      <c r="G1091" s="3">
        <v>83.0</v>
      </c>
      <c r="H1091" s="5" t="str">
        <f t="shared" si="1"/>
        <v>February 2019</v>
      </c>
      <c r="I1091" s="6">
        <f t="shared" si="2"/>
        <v>43497</v>
      </c>
    </row>
    <row r="1092">
      <c r="A1092" s="2">
        <v>43525.0</v>
      </c>
      <c r="B1092" s="3">
        <v>2019.0</v>
      </c>
      <c r="C1092" s="3">
        <v>3.0</v>
      </c>
      <c r="D1092" s="3" t="s">
        <v>12</v>
      </c>
      <c r="E1092" s="3">
        <v>5.52</v>
      </c>
      <c r="F1092" s="3">
        <v>6.65</v>
      </c>
      <c r="G1092" s="3">
        <v>83.1</v>
      </c>
      <c r="H1092" s="5" t="str">
        <f t="shared" si="1"/>
        <v>March 2019</v>
      </c>
      <c r="I1092" s="6">
        <f t="shared" si="2"/>
        <v>43525</v>
      </c>
    </row>
    <row r="1093">
      <c r="A1093" s="2">
        <v>43556.0</v>
      </c>
      <c r="B1093" s="3">
        <v>2019.0</v>
      </c>
      <c r="C1093" s="3">
        <v>4.0</v>
      </c>
      <c r="D1093" s="3" t="s">
        <v>12</v>
      </c>
      <c r="E1093" s="3">
        <v>5.13</v>
      </c>
      <c r="F1093" s="3">
        <v>6.47</v>
      </c>
      <c r="G1093" s="3">
        <v>79.3</v>
      </c>
      <c r="H1093" s="5" t="str">
        <f t="shared" si="1"/>
        <v>April 2019</v>
      </c>
      <c r="I1093" s="6">
        <f t="shared" si="2"/>
        <v>43556</v>
      </c>
    </row>
    <row r="1094">
      <c r="A1094" s="2">
        <v>43586.0</v>
      </c>
      <c r="B1094" s="3">
        <v>2019.0</v>
      </c>
      <c r="C1094" s="3">
        <v>5.0</v>
      </c>
      <c r="D1094" s="3" t="s">
        <v>12</v>
      </c>
      <c r="E1094" s="3">
        <v>5.84</v>
      </c>
      <c r="F1094" s="3">
        <v>7.3</v>
      </c>
      <c r="G1094" s="3">
        <v>79.9</v>
      </c>
      <c r="H1094" s="5" t="str">
        <f t="shared" si="1"/>
        <v>May 2019</v>
      </c>
      <c r="I1094" s="6">
        <f t="shared" si="2"/>
        <v>43586</v>
      </c>
    </row>
    <row r="1095">
      <c r="A1095" s="2">
        <v>43617.0</v>
      </c>
      <c r="B1095" s="3">
        <v>2019.0</v>
      </c>
      <c r="C1095" s="3">
        <v>6.0</v>
      </c>
      <c r="D1095" s="3" t="s">
        <v>12</v>
      </c>
      <c r="E1095" s="3">
        <v>5.61</v>
      </c>
      <c r="F1095" s="3">
        <v>6.96</v>
      </c>
      <c r="G1095" s="3">
        <v>80.6</v>
      </c>
      <c r="H1095" s="5" t="str">
        <f t="shared" si="1"/>
        <v>June 2019</v>
      </c>
      <c r="I1095" s="6">
        <f t="shared" si="2"/>
        <v>43617</v>
      </c>
    </row>
    <row r="1096">
      <c r="A1096" s="2">
        <v>43647.0</v>
      </c>
      <c r="B1096" s="3">
        <v>2019.0</v>
      </c>
      <c r="C1096" s="3">
        <v>7.0</v>
      </c>
      <c r="D1096" s="3" t="s">
        <v>12</v>
      </c>
      <c r="E1096" s="3">
        <v>5.38</v>
      </c>
      <c r="F1096" s="3">
        <v>6.66</v>
      </c>
      <c r="G1096" s="3">
        <v>80.7</v>
      </c>
      <c r="H1096" s="5" t="str">
        <f t="shared" si="1"/>
        <v>July 2019</v>
      </c>
      <c r="I1096" s="6">
        <f t="shared" si="2"/>
        <v>43647</v>
      </c>
    </row>
    <row r="1097">
      <c r="A1097" s="2">
        <v>43678.0</v>
      </c>
      <c r="B1097" s="3">
        <v>2019.0</v>
      </c>
      <c r="C1097" s="3">
        <v>8.0</v>
      </c>
      <c r="D1097" s="3" t="s">
        <v>12</v>
      </c>
      <c r="E1097" s="3">
        <v>5.12</v>
      </c>
      <c r="F1097" s="3">
        <v>6.22</v>
      </c>
      <c r="G1097" s="3">
        <v>82.3</v>
      </c>
      <c r="H1097" s="5" t="str">
        <f t="shared" si="1"/>
        <v>August 2019</v>
      </c>
      <c r="I1097" s="6">
        <f t="shared" si="2"/>
        <v>43678</v>
      </c>
    </row>
    <row r="1098">
      <c r="A1098" s="2">
        <v>43709.0</v>
      </c>
      <c r="B1098" s="3">
        <v>2019.0</v>
      </c>
      <c r="C1098" s="3">
        <v>9.0</v>
      </c>
      <c r="D1098" s="3" t="s">
        <v>12</v>
      </c>
      <c r="E1098" s="3">
        <v>4.46</v>
      </c>
      <c r="F1098" s="3">
        <v>5.58</v>
      </c>
      <c r="G1098" s="3">
        <v>79.9</v>
      </c>
      <c r="H1098" s="5" t="str">
        <f t="shared" si="1"/>
        <v>September 2019</v>
      </c>
      <c r="I1098" s="6">
        <f t="shared" si="2"/>
        <v>43709</v>
      </c>
    </row>
    <row r="1099">
      <c r="A1099" s="4">
        <v>43739.0</v>
      </c>
      <c r="B1099" s="3">
        <v>2019.0</v>
      </c>
      <c r="C1099" s="3">
        <v>10.0</v>
      </c>
      <c r="D1099" s="3" t="s">
        <v>12</v>
      </c>
      <c r="E1099" s="3">
        <v>3.93</v>
      </c>
      <c r="F1099" s="3">
        <v>4.94</v>
      </c>
      <c r="G1099" s="3">
        <v>79.6</v>
      </c>
      <c r="H1099" s="5" t="str">
        <f t="shared" si="1"/>
        <v>October 2019</v>
      </c>
      <c r="I1099" s="6">
        <f t="shared" si="2"/>
        <v>43739</v>
      </c>
    </row>
    <row r="1100">
      <c r="A1100" s="4">
        <v>43770.0</v>
      </c>
      <c r="B1100" s="3">
        <v>2019.0</v>
      </c>
      <c r="C1100" s="3">
        <v>11.0</v>
      </c>
      <c r="D1100" s="3" t="s">
        <v>12</v>
      </c>
      <c r="E1100" s="3">
        <v>3.29</v>
      </c>
      <c r="F1100" s="3">
        <v>3.77</v>
      </c>
      <c r="G1100" s="3">
        <v>87.3</v>
      </c>
      <c r="H1100" s="5" t="str">
        <f t="shared" si="1"/>
        <v>November 2019</v>
      </c>
      <c r="I1100" s="6">
        <f t="shared" si="2"/>
        <v>43770</v>
      </c>
    </row>
    <row r="1101">
      <c r="A1101" s="4">
        <v>43800.0</v>
      </c>
      <c r="B1101" s="3">
        <v>2019.0</v>
      </c>
      <c r="C1101" s="3">
        <v>12.0</v>
      </c>
      <c r="D1101" s="3" t="s">
        <v>12</v>
      </c>
      <c r="E1101" s="3">
        <v>2.77</v>
      </c>
      <c r="F1101" s="3">
        <v>3.32</v>
      </c>
      <c r="G1101" s="3">
        <v>83.4</v>
      </c>
      <c r="H1101" s="5" t="str">
        <f t="shared" si="1"/>
        <v>December 2019</v>
      </c>
      <c r="I1101" s="6">
        <f t="shared" si="2"/>
        <v>43800</v>
      </c>
    </row>
    <row r="1102">
      <c r="A1102" s="2">
        <v>43831.0</v>
      </c>
      <c r="B1102" s="3">
        <v>2020.0</v>
      </c>
      <c r="C1102" s="3">
        <v>1.0</v>
      </c>
      <c r="D1102" s="3" t="s">
        <v>12</v>
      </c>
      <c r="E1102" s="3">
        <v>2.17</v>
      </c>
      <c r="F1102" s="3">
        <v>2.78</v>
      </c>
      <c r="G1102" s="3">
        <v>78.1</v>
      </c>
      <c r="H1102" s="5" t="str">
        <f t="shared" si="1"/>
        <v>January 2020</v>
      </c>
      <c r="I1102" s="6">
        <f t="shared" si="2"/>
        <v>43831</v>
      </c>
    </row>
    <row r="1103">
      <c r="A1103" s="2">
        <v>43862.0</v>
      </c>
      <c r="B1103" s="3">
        <v>2020.0</v>
      </c>
      <c r="C1103" s="3">
        <v>2.0</v>
      </c>
      <c r="D1103" s="3" t="s">
        <v>12</v>
      </c>
      <c r="E1103" s="3">
        <v>2.13</v>
      </c>
      <c r="F1103" s="3">
        <v>2.52</v>
      </c>
      <c r="G1103" s="3">
        <v>84.6</v>
      </c>
      <c r="H1103" s="5" t="str">
        <f t="shared" si="1"/>
        <v>February 2020</v>
      </c>
      <c r="I1103" s="6">
        <f t="shared" si="2"/>
        <v>43862</v>
      </c>
    </row>
    <row r="1104">
      <c r="A1104" s="2">
        <v>43891.0</v>
      </c>
      <c r="B1104" s="3">
        <v>2020.0</v>
      </c>
      <c r="C1104" s="3">
        <v>3.0</v>
      </c>
      <c r="D1104" s="3" t="s">
        <v>12</v>
      </c>
      <c r="E1104" s="3">
        <v>0.5</v>
      </c>
      <c r="F1104" s="3">
        <v>0.91</v>
      </c>
      <c r="G1104" s="3">
        <v>55.0</v>
      </c>
      <c r="H1104" s="5" t="str">
        <f t="shared" si="1"/>
        <v>March 2020</v>
      </c>
      <c r="I1104" s="6">
        <f t="shared" si="2"/>
        <v>43891</v>
      </c>
    </row>
    <row r="1105">
      <c r="A1105" s="2">
        <v>43922.0</v>
      </c>
      <c r="B1105" s="3">
        <v>2020.0</v>
      </c>
      <c r="C1105" s="3">
        <v>4.0</v>
      </c>
      <c r="D1105" s="3" t="s">
        <v>12</v>
      </c>
      <c r="E1105" s="3">
        <v>0.5</v>
      </c>
      <c r="F1105" s="3">
        <v>0.91</v>
      </c>
      <c r="G1105" s="3">
        <v>55.0</v>
      </c>
      <c r="H1105" s="5" t="str">
        <f t="shared" si="1"/>
        <v>April 2020</v>
      </c>
      <c r="I1105" s="6">
        <f t="shared" si="2"/>
        <v>43922</v>
      </c>
    </row>
    <row r="1106">
      <c r="A1106" s="2">
        <v>43952.0</v>
      </c>
      <c r="B1106" s="3">
        <v>2020.0</v>
      </c>
      <c r="C1106" s="3">
        <v>5.0</v>
      </c>
      <c r="D1106" s="3" t="s">
        <v>12</v>
      </c>
      <c r="E1106" s="3">
        <v>0.5</v>
      </c>
      <c r="F1106" s="3">
        <v>0.91</v>
      </c>
      <c r="G1106" s="3">
        <v>55.0</v>
      </c>
      <c r="H1106" s="5" t="str">
        <f t="shared" si="1"/>
        <v>May 2020</v>
      </c>
      <c r="I1106" s="6">
        <f t="shared" si="2"/>
        <v>43952</v>
      </c>
    </row>
    <row r="1107">
      <c r="A1107" s="2">
        <v>43983.0</v>
      </c>
      <c r="B1107" s="3">
        <v>2020.0</v>
      </c>
      <c r="C1107" s="3">
        <v>6.0</v>
      </c>
      <c r="D1107" s="3" t="s">
        <v>12</v>
      </c>
      <c r="E1107" s="3">
        <v>0.5</v>
      </c>
      <c r="F1107" s="3">
        <v>0.91</v>
      </c>
      <c r="G1107" s="3">
        <v>55.0</v>
      </c>
      <c r="H1107" s="5" t="str">
        <f t="shared" si="1"/>
        <v>June 2020</v>
      </c>
      <c r="I1107" s="6">
        <f t="shared" si="2"/>
        <v>43983</v>
      </c>
    </row>
    <row r="1108">
      <c r="A1108" s="2">
        <v>44013.0</v>
      </c>
      <c r="B1108" s="3">
        <v>2020.0</v>
      </c>
      <c r="C1108" s="3">
        <v>7.0</v>
      </c>
      <c r="D1108" s="3" t="s">
        <v>12</v>
      </c>
      <c r="E1108" s="3">
        <v>3.45</v>
      </c>
      <c r="F1108" s="3">
        <v>6.27</v>
      </c>
      <c r="G1108" s="3">
        <v>55.0</v>
      </c>
      <c r="H1108" s="5" t="str">
        <f t="shared" si="1"/>
        <v>July 2020</v>
      </c>
      <c r="I1108" s="6">
        <f t="shared" si="2"/>
        <v>44013</v>
      </c>
    </row>
    <row r="1109">
      <c r="A1109" s="2">
        <v>44044.0</v>
      </c>
      <c r="B1109" s="3">
        <v>2020.0</v>
      </c>
      <c r="C1109" s="3">
        <v>8.0</v>
      </c>
      <c r="D1109" s="3" t="s">
        <v>12</v>
      </c>
      <c r="E1109" s="3">
        <v>1.29</v>
      </c>
      <c r="F1109" s="3">
        <v>2.35</v>
      </c>
      <c r="G1109" s="3">
        <v>55.0</v>
      </c>
      <c r="H1109" s="5" t="str">
        <f t="shared" si="1"/>
        <v>August 2020</v>
      </c>
      <c r="I1109" s="6">
        <f t="shared" si="2"/>
        <v>44044</v>
      </c>
    </row>
    <row r="1110">
      <c r="A1110" s="2">
        <v>44075.0</v>
      </c>
      <c r="B1110" s="3">
        <v>2020.0</v>
      </c>
      <c r="C1110" s="3">
        <v>9.0</v>
      </c>
      <c r="D1110" s="3" t="s">
        <v>12</v>
      </c>
      <c r="E1110" s="3">
        <v>1.34</v>
      </c>
      <c r="F1110" s="3">
        <v>2.44</v>
      </c>
      <c r="G1110" s="3">
        <v>55.0</v>
      </c>
      <c r="H1110" s="5" t="str">
        <f t="shared" si="1"/>
        <v>September 2020</v>
      </c>
      <c r="I1110" s="6">
        <f t="shared" si="2"/>
        <v>44075</v>
      </c>
    </row>
    <row r="1111">
      <c r="A1111" s="4">
        <v>44105.0</v>
      </c>
      <c r="B1111" s="3">
        <v>2020.0</v>
      </c>
      <c r="C1111" s="3">
        <v>10.0</v>
      </c>
      <c r="D1111" s="3" t="s">
        <v>12</v>
      </c>
      <c r="E1111" s="3">
        <v>1.28</v>
      </c>
      <c r="F1111" s="3">
        <v>2.33</v>
      </c>
      <c r="G1111" s="3">
        <v>55.0</v>
      </c>
      <c r="H1111" s="5" t="str">
        <f t="shared" si="1"/>
        <v>October 2020</v>
      </c>
      <c r="I1111" s="6">
        <f t="shared" si="2"/>
        <v>44105</v>
      </c>
    </row>
    <row r="1112">
      <c r="A1112" s="4">
        <v>44136.0</v>
      </c>
      <c r="B1112" s="3">
        <v>2020.0</v>
      </c>
      <c r="C1112" s="3">
        <v>11.0</v>
      </c>
      <c r="D1112" s="3" t="s">
        <v>12</v>
      </c>
      <c r="E1112" s="3">
        <v>1.26</v>
      </c>
      <c r="F1112" s="3">
        <v>2.3</v>
      </c>
      <c r="G1112" s="3">
        <v>55.0</v>
      </c>
      <c r="H1112" s="5" t="str">
        <f t="shared" si="1"/>
        <v>November 2020</v>
      </c>
      <c r="I1112" s="6">
        <f t="shared" si="2"/>
        <v>44136</v>
      </c>
    </row>
    <row r="1113">
      <c r="A1113" s="4">
        <v>44166.0</v>
      </c>
      <c r="B1113" s="3">
        <v>2020.0</v>
      </c>
      <c r="C1113" s="3">
        <v>12.0</v>
      </c>
      <c r="D1113" s="3" t="s">
        <v>12</v>
      </c>
      <c r="E1113" s="3">
        <v>1.18</v>
      </c>
      <c r="F1113" s="3">
        <v>2.15</v>
      </c>
      <c r="G1113" s="3">
        <v>55.0</v>
      </c>
      <c r="H1113" s="5" t="str">
        <f t="shared" si="1"/>
        <v>December 2020</v>
      </c>
      <c r="I1113" s="6">
        <f t="shared" si="2"/>
        <v>44166</v>
      </c>
    </row>
    <row r="1114">
      <c r="A1114" s="2">
        <v>44197.0</v>
      </c>
      <c r="B1114" s="3">
        <v>2021.0</v>
      </c>
      <c r="C1114" s="3">
        <v>1.0</v>
      </c>
      <c r="D1114" s="3" t="s">
        <v>12</v>
      </c>
      <c r="E1114" s="3">
        <v>3.18</v>
      </c>
      <c r="F1114" s="3">
        <v>3.81</v>
      </c>
      <c r="G1114" s="3">
        <v>83.5</v>
      </c>
      <c r="H1114" s="5" t="str">
        <f t="shared" si="1"/>
        <v>January 2021</v>
      </c>
      <c r="I1114" s="6">
        <f t="shared" si="2"/>
        <v>44197</v>
      </c>
    </row>
    <row r="1115">
      <c r="A1115" s="2">
        <v>44228.0</v>
      </c>
      <c r="B1115" s="3">
        <v>2021.0</v>
      </c>
      <c r="C1115" s="3">
        <v>2.0</v>
      </c>
      <c r="D1115" s="3" t="s">
        <v>12</v>
      </c>
      <c r="E1115" s="3">
        <v>1.49</v>
      </c>
      <c r="F1115" s="3">
        <v>1.8</v>
      </c>
      <c r="G1115" s="3">
        <v>82.9</v>
      </c>
      <c r="H1115" s="5" t="str">
        <f t="shared" si="1"/>
        <v>February 2021</v>
      </c>
      <c r="I1115" s="6">
        <f t="shared" si="2"/>
        <v>44228</v>
      </c>
    </row>
    <row r="1116">
      <c r="A1116" s="2">
        <v>44256.0</v>
      </c>
      <c r="B1116" s="3">
        <v>2021.0</v>
      </c>
      <c r="C1116" s="3">
        <v>3.0</v>
      </c>
      <c r="D1116" s="3" t="s">
        <v>12</v>
      </c>
      <c r="E1116" s="3">
        <v>1.56</v>
      </c>
      <c r="F1116" s="3">
        <v>1.9</v>
      </c>
      <c r="G1116" s="3">
        <v>82.1</v>
      </c>
      <c r="H1116" s="5" t="str">
        <f t="shared" si="1"/>
        <v>March 2021</v>
      </c>
      <c r="I1116" s="6">
        <f t="shared" si="2"/>
        <v>44256</v>
      </c>
    </row>
    <row r="1117">
      <c r="A1117" s="2">
        <v>44287.0</v>
      </c>
      <c r="B1117" s="3">
        <v>2021.0</v>
      </c>
      <c r="C1117" s="3">
        <v>4.0</v>
      </c>
      <c r="D1117" s="3" t="s">
        <v>12</v>
      </c>
      <c r="E1117" s="3">
        <v>1.73</v>
      </c>
      <c r="F1117" s="3">
        <v>2.06</v>
      </c>
      <c r="G1117" s="3">
        <v>83.9</v>
      </c>
      <c r="H1117" s="5" t="str">
        <f t="shared" si="1"/>
        <v>April 2021</v>
      </c>
      <c r="I1117" s="6">
        <f t="shared" si="2"/>
        <v>44287</v>
      </c>
    </row>
    <row r="1118">
      <c r="A1118" s="2">
        <v>44317.0</v>
      </c>
      <c r="B1118" s="3">
        <v>2021.0</v>
      </c>
      <c r="C1118" s="3">
        <v>5.0</v>
      </c>
      <c r="D1118" s="3" t="s">
        <v>12</v>
      </c>
      <c r="E1118" s="3">
        <v>1.93</v>
      </c>
      <c r="F1118" s="3">
        <v>2.36</v>
      </c>
      <c r="G1118" s="3">
        <v>81.8</v>
      </c>
      <c r="H1118" s="5" t="str">
        <f t="shared" si="1"/>
        <v>May 2021</v>
      </c>
      <c r="I1118" s="6">
        <f t="shared" si="2"/>
        <v>44317</v>
      </c>
    </row>
    <row r="1119">
      <c r="A1119" s="2">
        <v>44348.0</v>
      </c>
      <c r="B1119" s="3">
        <v>2021.0</v>
      </c>
      <c r="C1119" s="3">
        <v>6.0</v>
      </c>
      <c r="D1119" s="3" t="s">
        <v>12</v>
      </c>
      <c r="E1119" s="3">
        <v>2.15</v>
      </c>
      <c r="F1119" s="3">
        <v>2.61</v>
      </c>
      <c r="G1119" s="3">
        <v>82.5</v>
      </c>
      <c r="H1119" s="5" t="str">
        <f t="shared" si="1"/>
        <v>June 2021</v>
      </c>
      <c r="I1119" s="6">
        <f t="shared" si="2"/>
        <v>44348</v>
      </c>
    </row>
    <row r="1120">
      <c r="A1120" s="2">
        <v>44378.0</v>
      </c>
      <c r="B1120" s="3">
        <v>2021.0</v>
      </c>
      <c r="C1120" s="3">
        <v>7.0</v>
      </c>
      <c r="D1120" s="3" t="s">
        <v>12</v>
      </c>
      <c r="E1120" s="3">
        <v>5.04</v>
      </c>
      <c r="F1120" s="3">
        <v>6.1</v>
      </c>
      <c r="G1120" s="3">
        <v>82.6</v>
      </c>
      <c r="H1120" s="5" t="str">
        <f t="shared" si="1"/>
        <v>July 2021</v>
      </c>
      <c r="I1120" s="6">
        <f t="shared" si="2"/>
        <v>44378</v>
      </c>
    </row>
    <row r="1121">
      <c r="A1121" s="2">
        <v>44409.0</v>
      </c>
      <c r="B1121" s="3">
        <v>2021.0</v>
      </c>
      <c r="C1121" s="3">
        <v>8.0</v>
      </c>
      <c r="D1121" s="3" t="s">
        <v>12</v>
      </c>
      <c r="E1121" s="3">
        <v>3.37</v>
      </c>
      <c r="F1121" s="3">
        <v>4.19</v>
      </c>
      <c r="G1121" s="3">
        <v>80.5</v>
      </c>
      <c r="H1121" s="5" t="str">
        <f t="shared" si="1"/>
        <v>August 2021</v>
      </c>
      <c r="I1121" s="6">
        <f t="shared" si="2"/>
        <v>44409</v>
      </c>
    </row>
    <row r="1122">
      <c r="A1122" s="2">
        <v>44440.0</v>
      </c>
      <c r="B1122" s="3">
        <v>2021.0</v>
      </c>
      <c r="C1122" s="3">
        <v>9.0</v>
      </c>
      <c r="D1122" s="3" t="s">
        <v>12</v>
      </c>
      <c r="E1122" s="3">
        <v>3.44</v>
      </c>
      <c r="F1122" s="3">
        <v>3.92</v>
      </c>
      <c r="G1122" s="3">
        <v>87.7</v>
      </c>
      <c r="H1122" s="5" t="str">
        <f t="shared" si="1"/>
        <v>September 2021</v>
      </c>
      <c r="I1122" s="6">
        <f t="shared" si="2"/>
        <v>44440</v>
      </c>
    </row>
    <row r="1123">
      <c r="A1123" s="4">
        <v>44470.0</v>
      </c>
      <c r="B1123" s="3">
        <v>2021.0</v>
      </c>
      <c r="C1123" s="3">
        <v>10.0</v>
      </c>
      <c r="D1123" s="3" t="s">
        <v>12</v>
      </c>
      <c r="E1123" s="3">
        <v>3.24</v>
      </c>
      <c r="F1123" s="3">
        <v>3.94</v>
      </c>
      <c r="G1123" s="3">
        <v>82.1</v>
      </c>
      <c r="H1123" s="5" t="str">
        <f t="shared" si="1"/>
        <v>October 2021</v>
      </c>
      <c r="I1123" s="6">
        <f t="shared" si="2"/>
        <v>44470</v>
      </c>
    </row>
    <row r="1124">
      <c r="A1124" s="4">
        <v>44501.0</v>
      </c>
      <c r="B1124" s="3">
        <v>2021.0</v>
      </c>
      <c r="C1124" s="3">
        <v>11.0</v>
      </c>
      <c r="D1124" s="3" t="s">
        <v>12</v>
      </c>
      <c r="E1124" s="3">
        <v>3.07</v>
      </c>
      <c r="F1124" s="3">
        <v>3.79</v>
      </c>
      <c r="G1124" s="3">
        <v>81.0</v>
      </c>
      <c r="H1124" s="5" t="str">
        <f t="shared" si="1"/>
        <v>November 2021</v>
      </c>
      <c r="I1124" s="6">
        <f t="shared" si="2"/>
        <v>44501</v>
      </c>
    </row>
    <row r="1125">
      <c r="A1125" s="4">
        <v>44531.0</v>
      </c>
      <c r="B1125" s="3">
        <v>2021.0</v>
      </c>
      <c r="C1125" s="3">
        <v>12.0</v>
      </c>
      <c r="D1125" s="3" t="s">
        <v>12</v>
      </c>
      <c r="E1125" s="3">
        <v>3.08</v>
      </c>
      <c r="F1125" s="3">
        <v>3.82</v>
      </c>
      <c r="G1125" s="3">
        <v>80.7</v>
      </c>
      <c r="H1125" s="5" t="str">
        <f t="shared" si="1"/>
        <v>December 2021</v>
      </c>
      <c r="I1125" s="6">
        <f t="shared" si="2"/>
        <v>44531</v>
      </c>
    </row>
    <row r="1126">
      <c r="A1126" s="2">
        <v>44562.0</v>
      </c>
      <c r="B1126" s="3">
        <v>2022.0</v>
      </c>
      <c r="C1126" s="3">
        <v>1.0</v>
      </c>
      <c r="D1126" s="3" t="s">
        <v>12</v>
      </c>
      <c r="E1126" s="3">
        <v>4.29</v>
      </c>
      <c r="F1126" s="3">
        <v>5.44</v>
      </c>
      <c r="G1126" s="3">
        <v>78.8</v>
      </c>
      <c r="H1126" s="5" t="str">
        <f t="shared" si="1"/>
        <v>January 2022</v>
      </c>
      <c r="I1126" s="6">
        <f t="shared" si="2"/>
        <v>44562</v>
      </c>
    </row>
    <row r="1127">
      <c r="A1127" s="2">
        <v>44593.0</v>
      </c>
      <c r="B1127" s="3">
        <v>2022.0</v>
      </c>
      <c r="C1127" s="3">
        <v>2.0</v>
      </c>
      <c r="D1127" s="3" t="s">
        <v>12</v>
      </c>
      <c r="E1127" s="3">
        <v>4.22</v>
      </c>
      <c r="F1127" s="3">
        <v>5.37</v>
      </c>
      <c r="G1127" s="3">
        <v>78.6</v>
      </c>
      <c r="H1127" s="5" t="str">
        <f t="shared" si="1"/>
        <v>February 2022</v>
      </c>
      <c r="I1127" s="6">
        <f t="shared" si="2"/>
        <v>44593</v>
      </c>
    </row>
    <row r="1128">
      <c r="A1128" s="2">
        <v>44621.0</v>
      </c>
      <c r="B1128" s="3">
        <v>2022.0</v>
      </c>
      <c r="C1128" s="3">
        <v>3.0</v>
      </c>
      <c r="D1128" s="3" t="s">
        <v>12</v>
      </c>
      <c r="E1128" s="3">
        <v>4.58</v>
      </c>
      <c r="F1128" s="3">
        <v>5.23</v>
      </c>
      <c r="G1128" s="3">
        <v>87.6</v>
      </c>
      <c r="H1128" s="5" t="str">
        <f t="shared" si="1"/>
        <v>March 2022</v>
      </c>
      <c r="I1128" s="6">
        <f t="shared" si="2"/>
        <v>44621</v>
      </c>
    </row>
    <row r="1129">
      <c r="A1129" s="2">
        <v>44652.0</v>
      </c>
      <c r="B1129" s="3">
        <v>2022.0</v>
      </c>
      <c r="C1129" s="3">
        <v>4.0</v>
      </c>
      <c r="D1129" s="3" t="s">
        <v>12</v>
      </c>
      <c r="E1129" s="3">
        <v>4.8</v>
      </c>
      <c r="F1129" s="3">
        <v>6.11</v>
      </c>
      <c r="G1129" s="3">
        <v>78.7</v>
      </c>
      <c r="H1129" s="5" t="str">
        <f t="shared" si="1"/>
        <v>April 2022</v>
      </c>
      <c r="I1129" s="6">
        <f t="shared" si="2"/>
        <v>44652</v>
      </c>
    </row>
    <row r="1130">
      <c r="A1130" s="2">
        <v>44682.0</v>
      </c>
      <c r="B1130" s="3">
        <v>2022.0</v>
      </c>
      <c r="C1130" s="3">
        <v>5.0</v>
      </c>
      <c r="D1130" s="3" t="s">
        <v>12</v>
      </c>
      <c r="E1130" s="3">
        <v>5.48</v>
      </c>
      <c r="F1130" s="3">
        <v>6.8</v>
      </c>
      <c r="G1130" s="3">
        <v>80.5</v>
      </c>
      <c r="H1130" s="5" t="str">
        <f t="shared" si="1"/>
        <v>May 2022</v>
      </c>
      <c r="I1130" s="6">
        <f t="shared" si="2"/>
        <v>44682</v>
      </c>
    </row>
    <row r="1131">
      <c r="A1131" s="2">
        <v>44713.0</v>
      </c>
      <c r="B1131" s="3">
        <v>2022.0</v>
      </c>
      <c r="C1131" s="3">
        <v>6.0</v>
      </c>
      <c r="D1131" s="3" t="s">
        <v>12</v>
      </c>
      <c r="E1131" s="3">
        <v>6.05</v>
      </c>
      <c r="F1131" s="3">
        <v>7.43</v>
      </c>
      <c r="G1131" s="3">
        <v>81.4</v>
      </c>
      <c r="H1131" s="5" t="str">
        <f t="shared" si="1"/>
        <v>June 2022</v>
      </c>
      <c r="I1131" s="6">
        <f t="shared" si="2"/>
        <v>44713</v>
      </c>
    </row>
    <row r="1132">
      <c r="A1132" s="2">
        <v>44743.0</v>
      </c>
      <c r="B1132" s="3">
        <v>2022.0</v>
      </c>
      <c r="C1132" s="3">
        <v>7.0</v>
      </c>
      <c r="D1132" s="3" t="s">
        <v>12</v>
      </c>
      <c r="E1132" s="3">
        <v>6.1</v>
      </c>
      <c r="F1132" s="3">
        <v>7.47</v>
      </c>
      <c r="G1132" s="3">
        <v>81.6</v>
      </c>
      <c r="H1132" s="5" t="str">
        <f t="shared" si="1"/>
        <v>July 2022</v>
      </c>
      <c r="I1132" s="6">
        <f t="shared" si="2"/>
        <v>44743</v>
      </c>
    </row>
    <row r="1133">
      <c r="A1133" s="2">
        <v>44774.0</v>
      </c>
      <c r="B1133" s="3">
        <v>2022.0</v>
      </c>
      <c r="C1133" s="3">
        <v>8.0</v>
      </c>
      <c r="D1133" s="3" t="s">
        <v>12</v>
      </c>
      <c r="E1133" s="3">
        <v>6.57</v>
      </c>
      <c r="F1133" s="3">
        <v>8.06</v>
      </c>
      <c r="G1133" s="3">
        <v>81.5</v>
      </c>
      <c r="H1133" s="5" t="str">
        <f t="shared" si="1"/>
        <v>August 2022</v>
      </c>
      <c r="I1133" s="6">
        <f t="shared" si="2"/>
        <v>44774</v>
      </c>
    </row>
    <row r="1134">
      <c r="A1134" s="2">
        <v>44805.0</v>
      </c>
      <c r="B1134" s="3">
        <v>2022.0</v>
      </c>
      <c r="C1134" s="3">
        <v>9.0</v>
      </c>
      <c r="D1134" s="3" t="s">
        <v>12</v>
      </c>
      <c r="E1134" s="3">
        <v>6.31</v>
      </c>
      <c r="F1134" s="3">
        <v>7.73</v>
      </c>
      <c r="G1134" s="3">
        <v>81.6</v>
      </c>
      <c r="H1134" s="5" t="str">
        <f t="shared" si="1"/>
        <v>September 2022</v>
      </c>
      <c r="I1134" s="6">
        <f t="shared" si="2"/>
        <v>44805</v>
      </c>
    </row>
    <row r="1135">
      <c r="A1135" s="4">
        <v>44835.0</v>
      </c>
      <c r="B1135" s="3">
        <v>2022.0</v>
      </c>
      <c r="C1135" s="3">
        <v>10.0</v>
      </c>
      <c r="D1135" s="3" t="s">
        <v>12</v>
      </c>
      <c r="E1135" s="3">
        <v>5.95</v>
      </c>
      <c r="F1135" s="3">
        <v>7.19</v>
      </c>
      <c r="G1135" s="3">
        <v>82.8</v>
      </c>
      <c r="H1135" s="5" t="str">
        <f t="shared" si="1"/>
        <v>October 2022</v>
      </c>
      <c r="I1135" s="6">
        <f t="shared" si="2"/>
        <v>44835</v>
      </c>
    </row>
    <row r="1136">
      <c r="A1136" s="4">
        <v>44866.0</v>
      </c>
      <c r="B1136" s="3">
        <v>2022.0</v>
      </c>
      <c r="C1136" s="3">
        <v>11.0</v>
      </c>
      <c r="D1136" s="3" t="s">
        <v>12</v>
      </c>
      <c r="E1136" s="3">
        <v>5.53</v>
      </c>
      <c r="F1136" s="3">
        <v>6.82</v>
      </c>
      <c r="G1136" s="3">
        <v>81.1</v>
      </c>
      <c r="H1136" s="5" t="str">
        <f t="shared" si="1"/>
        <v>November 2022</v>
      </c>
      <c r="I1136" s="6">
        <f t="shared" si="2"/>
        <v>44866</v>
      </c>
    </row>
    <row r="1137">
      <c r="A1137" s="4">
        <v>44896.0</v>
      </c>
      <c r="B1137" s="3">
        <v>2022.0</v>
      </c>
      <c r="C1137" s="3">
        <v>12.0</v>
      </c>
      <c r="D1137" s="3" t="s">
        <v>12</v>
      </c>
      <c r="E1137" s="3">
        <v>5.6</v>
      </c>
      <c r="F1137" s="3">
        <v>6.78</v>
      </c>
      <c r="G1137" s="3">
        <v>82.6</v>
      </c>
      <c r="H1137" s="5" t="str">
        <f t="shared" si="1"/>
        <v>December 2022</v>
      </c>
      <c r="I1137" s="6">
        <f t="shared" si="2"/>
        <v>44896</v>
      </c>
    </row>
    <row r="1138">
      <c r="A1138" s="2">
        <v>44927.0</v>
      </c>
      <c r="B1138" s="3">
        <v>2023.0</v>
      </c>
      <c r="C1138" s="3">
        <v>1.0</v>
      </c>
      <c r="D1138" s="3" t="s">
        <v>12</v>
      </c>
      <c r="E1138" s="3">
        <v>5.31</v>
      </c>
      <c r="F1138" s="3">
        <v>6.49</v>
      </c>
      <c r="G1138" s="3">
        <v>81.9</v>
      </c>
      <c r="H1138" s="5" t="str">
        <f t="shared" si="1"/>
        <v>January 2023</v>
      </c>
      <c r="I1138" s="6">
        <f t="shared" si="2"/>
        <v>44927</v>
      </c>
    </row>
    <row r="1139">
      <c r="A1139" s="2">
        <v>44958.0</v>
      </c>
      <c r="B1139" s="3">
        <v>2023.0</v>
      </c>
      <c r="C1139" s="3">
        <v>2.0</v>
      </c>
      <c r="D1139" s="3" t="s">
        <v>12</v>
      </c>
      <c r="E1139" s="3">
        <v>5.36</v>
      </c>
      <c r="F1139" s="3">
        <v>6.39</v>
      </c>
      <c r="G1139" s="3">
        <v>83.8</v>
      </c>
      <c r="H1139" s="5" t="str">
        <f t="shared" si="1"/>
        <v>February 2023</v>
      </c>
      <c r="I1139" s="6">
        <f t="shared" si="2"/>
        <v>44958</v>
      </c>
    </row>
    <row r="1140">
      <c r="A1140" s="2">
        <v>44986.0</v>
      </c>
      <c r="B1140" s="3">
        <v>2023.0</v>
      </c>
      <c r="C1140" s="3">
        <v>3.0</v>
      </c>
      <c r="D1140" s="3" t="s">
        <v>12</v>
      </c>
      <c r="E1140" s="3">
        <v>5.44</v>
      </c>
      <c r="F1140" s="3">
        <v>6.48</v>
      </c>
      <c r="G1140" s="3">
        <v>83.9</v>
      </c>
      <c r="H1140" s="5" t="str">
        <f t="shared" si="1"/>
        <v>March 2023</v>
      </c>
      <c r="I1140" s="6">
        <f t="shared" si="2"/>
        <v>44986</v>
      </c>
    </row>
    <row r="1141">
      <c r="A1141" s="2">
        <v>45017.0</v>
      </c>
      <c r="B1141" s="3">
        <v>2023.0</v>
      </c>
      <c r="C1141" s="3">
        <v>4.0</v>
      </c>
      <c r="D1141" s="3" t="s">
        <v>12</v>
      </c>
      <c r="E1141" s="3">
        <v>5.91</v>
      </c>
      <c r="F1141" s="3">
        <v>7.29</v>
      </c>
      <c r="G1141" s="3">
        <v>81.1</v>
      </c>
      <c r="H1141" s="5" t="str">
        <f t="shared" si="1"/>
        <v>April 2023</v>
      </c>
      <c r="I1141" s="6">
        <f t="shared" si="2"/>
        <v>45017</v>
      </c>
    </row>
    <row r="1142">
      <c r="A1142" s="2">
        <v>45047.0</v>
      </c>
      <c r="B1142" s="3">
        <v>2023.0</v>
      </c>
      <c r="C1142" s="3">
        <v>5.0</v>
      </c>
      <c r="D1142" s="3" t="s">
        <v>12</v>
      </c>
      <c r="E1142" s="3">
        <v>6.08</v>
      </c>
      <c r="F1142" s="3">
        <v>7.34</v>
      </c>
      <c r="G1142" s="3">
        <v>82.8</v>
      </c>
      <c r="H1142" s="5" t="str">
        <f t="shared" si="1"/>
        <v>May 2023</v>
      </c>
      <c r="I1142" s="6">
        <f t="shared" si="2"/>
        <v>45047</v>
      </c>
    </row>
    <row r="1143">
      <c r="A1143" s="2">
        <v>45078.0</v>
      </c>
      <c r="B1143" s="3">
        <v>2023.0</v>
      </c>
      <c r="C1143" s="3">
        <v>6.0</v>
      </c>
      <c r="D1143" s="3" t="s">
        <v>12</v>
      </c>
      <c r="E1143" s="3">
        <v>7.01</v>
      </c>
      <c r="F1143" s="3">
        <v>8.33</v>
      </c>
      <c r="G1143" s="3">
        <v>84.2</v>
      </c>
      <c r="H1143" s="5" t="str">
        <f t="shared" si="1"/>
        <v>June 2023</v>
      </c>
      <c r="I1143" s="6">
        <f t="shared" si="2"/>
        <v>45078</v>
      </c>
    </row>
    <row r="1144">
      <c r="A1144" s="2">
        <v>45108.0</v>
      </c>
      <c r="B1144" s="3">
        <v>2023.0</v>
      </c>
      <c r="C1144" s="3">
        <v>7.0</v>
      </c>
      <c r="D1144" s="3" t="s">
        <v>12</v>
      </c>
      <c r="E1144" s="3">
        <v>7.14</v>
      </c>
      <c r="F1144" s="3">
        <v>8.91</v>
      </c>
      <c r="G1144" s="3">
        <v>80.2</v>
      </c>
      <c r="H1144" s="5" t="str">
        <f t="shared" si="1"/>
        <v>July 2023</v>
      </c>
      <c r="I1144" s="6">
        <f t="shared" si="2"/>
        <v>45108</v>
      </c>
    </row>
    <row r="1145">
      <c r="A1145" s="2">
        <v>45139.0</v>
      </c>
      <c r="B1145" s="3">
        <v>2023.0</v>
      </c>
      <c r="C1145" s="3">
        <v>8.0</v>
      </c>
      <c r="D1145" s="3" t="s">
        <v>12</v>
      </c>
      <c r="E1145" s="3">
        <v>7.68</v>
      </c>
      <c r="F1145" s="3">
        <v>9.38</v>
      </c>
      <c r="G1145" s="3">
        <v>81.9</v>
      </c>
      <c r="H1145" s="5" t="str">
        <f t="shared" si="1"/>
        <v>August 2023</v>
      </c>
      <c r="I1145" s="6">
        <f t="shared" si="2"/>
        <v>45139</v>
      </c>
    </row>
    <row r="1146">
      <c r="A1146" s="2">
        <v>45170.0</v>
      </c>
      <c r="B1146" s="3">
        <v>2023.0</v>
      </c>
      <c r="C1146" s="3">
        <v>9.0</v>
      </c>
      <c r="D1146" s="3" t="s">
        <v>12</v>
      </c>
      <c r="E1146" s="3">
        <v>7.12</v>
      </c>
      <c r="F1146" s="3">
        <v>8.6</v>
      </c>
      <c r="G1146" s="3">
        <v>82.8</v>
      </c>
      <c r="H1146" s="5" t="str">
        <f t="shared" si="1"/>
        <v>September 2023</v>
      </c>
      <c r="I1146" s="6">
        <f t="shared" si="2"/>
        <v>45170</v>
      </c>
    </row>
    <row r="1147">
      <c r="A1147" s="4">
        <v>45200.0</v>
      </c>
      <c r="B1147" s="3">
        <v>2023.0</v>
      </c>
      <c r="C1147" s="3">
        <v>10.0</v>
      </c>
      <c r="D1147" s="3" t="s">
        <v>12</v>
      </c>
      <c r="E1147" s="3">
        <v>6.86</v>
      </c>
      <c r="F1147" s="3">
        <v>8.57</v>
      </c>
      <c r="G1147" s="3">
        <v>80.1</v>
      </c>
      <c r="H1147" s="5" t="str">
        <f t="shared" si="1"/>
        <v>October 2023</v>
      </c>
      <c r="I1147" s="6">
        <f t="shared" si="2"/>
        <v>45200</v>
      </c>
    </row>
    <row r="1148">
      <c r="A1148" s="4">
        <v>45231.0</v>
      </c>
      <c r="B1148" s="3">
        <v>2023.0</v>
      </c>
      <c r="C1148" s="3">
        <v>11.0</v>
      </c>
      <c r="D1148" s="3" t="s">
        <v>12</v>
      </c>
      <c r="E1148" s="3">
        <v>7.12</v>
      </c>
      <c r="F1148" s="3">
        <v>8.31</v>
      </c>
      <c r="G1148" s="3">
        <v>85.6</v>
      </c>
      <c r="H1148" s="5" t="str">
        <f t="shared" si="1"/>
        <v>November 2023</v>
      </c>
      <c r="I1148" s="6">
        <f t="shared" si="2"/>
        <v>45231</v>
      </c>
    </row>
    <row r="1149">
      <c r="A1149" s="4">
        <v>45261.0</v>
      </c>
      <c r="B1149" s="3">
        <v>2023.0</v>
      </c>
      <c r="C1149" s="3">
        <v>12.0</v>
      </c>
      <c r="D1149" s="3" t="s">
        <v>12</v>
      </c>
      <c r="E1149" s="3">
        <v>6.17</v>
      </c>
      <c r="F1149" s="3">
        <v>7.58</v>
      </c>
      <c r="G1149" s="3">
        <v>81.3</v>
      </c>
      <c r="H1149" s="5" t="str">
        <f t="shared" si="1"/>
        <v>December 2023</v>
      </c>
      <c r="I1149" s="6">
        <f t="shared" si="2"/>
        <v>45261</v>
      </c>
    </row>
    <row r="1150">
      <c r="A1150" s="2">
        <v>45292.0</v>
      </c>
      <c r="B1150" s="3">
        <v>2024.0</v>
      </c>
      <c r="C1150" s="3">
        <v>1.0</v>
      </c>
      <c r="D1150" s="3" t="s">
        <v>12</v>
      </c>
      <c r="E1150" s="3">
        <v>6.1</v>
      </c>
      <c r="F1150" s="3">
        <v>7.13</v>
      </c>
      <c r="G1150" s="3">
        <v>85.6</v>
      </c>
      <c r="H1150" s="5" t="str">
        <f t="shared" si="1"/>
        <v>January 2024</v>
      </c>
      <c r="I1150" s="6">
        <f t="shared" si="2"/>
        <v>45292</v>
      </c>
    </row>
    <row r="1151">
      <c r="A1151" s="2">
        <v>45323.0</v>
      </c>
      <c r="B1151" s="3">
        <v>2024.0</v>
      </c>
      <c r="C1151" s="3">
        <v>2.0</v>
      </c>
      <c r="D1151" s="3" t="s">
        <v>12</v>
      </c>
      <c r="E1151" s="3">
        <v>5.9</v>
      </c>
      <c r="F1151" s="3">
        <v>7.28</v>
      </c>
      <c r="G1151" s="3">
        <v>81.0</v>
      </c>
      <c r="H1151" s="5" t="str">
        <f t="shared" si="1"/>
        <v>February 2024</v>
      </c>
      <c r="I1151" s="6">
        <f t="shared" si="2"/>
        <v>45323</v>
      </c>
    </row>
    <row r="1152">
      <c r="A1152" s="2">
        <v>45352.0</v>
      </c>
      <c r="B1152" s="3">
        <v>2024.0</v>
      </c>
      <c r="C1152" s="3">
        <v>3.0</v>
      </c>
      <c r="D1152" s="3" t="s">
        <v>12</v>
      </c>
      <c r="E1152" s="3">
        <v>6.46</v>
      </c>
      <c r="F1152" s="3">
        <v>7.95</v>
      </c>
      <c r="G1152" s="3">
        <v>81.3</v>
      </c>
      <c r="H1152" s="5" t="str">
        <f t="shared" si="1"/>
        <v>March 2024</v>
      </c>
      <c r="I1152" s="6">
        <f t="shared" si="2"/>
        <v>45352</v>
      </c>
    </row>
    <row r="1153">
      <c r="A1153" s="2">
        <v>45383.0</v>
      </c>
      <c r="B1153" s="3">
        <v>2024.0</v>
      </c>
      <c r="C1153" s="3">
        <v>4.0</v>
      </c>
      <c r="D1153" s="3" t="s">
        <v>12</v>
      </c>
      <c r="E1153" s="3">
        <v>6.73</v>
      </c>
      <c r="F1153" s="3">
        <v>8.52</v>
      </c>
      <c r="G1153" s="3">
        <v>79.0</v>
      </c>
      <c r="H1153" s="5" t="str">
        <f t="shared" si="1"/>
        <v>April 2024</v>
      </c>
      <c r="I1153" s="6">
        <f t="shared" si="2"/>
        <v>45383</v>
      </c>
    </row>
    <row r="1154">
      <c r="A1154" s="2">
        <v>45413.0</v>
      </c>
      <c r="B1154" s="3">
        <v>2024.0</v>
      </c>
      <c r="C1154" s="3">
        <v>5.0</v>
      </c>
      <c r="D1154" s="3" t="s">
        <v>12</v>
      </c>
      <c r="E1154" s="3">
        <v>7.13</v>
      </c>
      <c r="F1154" s="3">
        <v>9.06</v>
      </c>
      <c r="G1154" s="3">
        <v>78.7</v>
      </c>
      <c r="H1154" s="5" t="str">
        <f t="shared" si="1"/>
        <v>May 2024</v>
      </c>
      <c r="I1154" s="6">
        <f t="shared" si="2"/>
        <v>45413</v>
      </c>
    </row>
    <row r="1155">
      <c r="A1155" s="2">
        <v>45444.0</v>
      </c>
      <c r="B1155" s="3">
        <v>2024.0</v>
      </c>
      <c r="C1155" s="3">
        <v>6.0</v>
      </c>
      <c r="D1155" s="3" t="s">
        <v>12</v>
      </c>
      <c r="E1155" s="3">
        <v>7.51</v>
      </c>
      <c r="F1155" s="3">
        <v>8.97</v>
      </c>
      <c r="G1155" s="3">
        <v>83.7</v>
      </c>
      <c r="H1155" s="5" t="str">
        <f t="shared" si="1"/>
        <v>June 2024</v>
      </c>
      <c r="I1155" s="6">
        <f t="shared" si="2"/>
        <v>45444</v>
      </c>
    </row>
    <row r="1156">
      <c r="A1156" s="2">
        <v>45474.0</v>
      </c>
      <c r="B1156" s="3">
        <v>2024.0</v>
      </c>
      <c r="C1156" s="3">
        <v>7.0</v>
      </c>
      <c r="D1156" s="3" t="s">
        <v>12</v>
      </c>
      <c r="E1156" s="3">
        <v>8.18</v>
      </c>
      <c r="F1156" s="3">
        <v>10.05</v>
      </c>
      <c r="G1156" s="3">
        <v>81.4</v>
      </c>
      <c r="H1156" s="5" t="str">
        <f t="shared" si="1"/>
        <v>July 2024</v>
      </c>
      <c r="I1156" s="6">
        <f t="shared" si="2"/>
        <v>45474</v>
      </c>
    </row>
    <row r="1157">
      <c r="A1157" s="2">
        <v>45505.0</v>
      </c>
      <c r="B1157" s="3">
        <v>2024.0</v>
      </c>
      <c r="C1157" s="3">
        <v>8.0</v>
      </c>
      <c r="D1157" s="3" t="s">
        <v>12</v>
      </c>
      <c r="E1157" s="3">
        <v>8.2</v>
      </c>
      <c r="F1157" s="3">
        <v>10.05</v>
      </c>
      <c r="G1157" s="3">
        <v>81.6</v>
      </c>
      <c r="H1157" s="5" t="str">
        <f t="shared" si="1"/>
        <v>August 2024</v>
      </c>
      <c r="I1157" s="6">
        <f t="shared" si="2"/>
        <v>45505</v>
      </c>
    </row>
    <row r="1158">
      <c r="A1158" s="2">
        <v>45536.0</v>
      </c>
      <c r="B1158" s="3">
        <v>2024.0</v>
      </c>
      <c r="C1158" s="3">
        <v>9.0</v>
      </c>
      <c r="D1158" s="3" t="s">
        <v>12</v>
      </c>
      <c r="E1158" s="3">
        <v>8.36</v>
      </c>
      <c r="F1158" s="3">
        <v>9.96</v>
      </c>
      <c r="G1158" s="3">
        <v>84.0</v>
      </c>
      <c r="H1158" s="5" t="str">
        <f t="shared" si="1"/>
        <v>September 2024</v>
      </c>
      <c r="I1158" s="6">
        <f t="shared" si="2"/>
        <v>45536</v>
      </c>
    </row>
    <row r="1159">
      <c r="A1159" s="4">
        <v>45566.0</v>
      </c>
      <c r="B1159" s="3">
        <v>2024.0</v>
      </c>
      <c r="C1159" s="3">
        <v>10.0</v>
      </c>
      <c r="D1159" s="3" t="s">
        <v>12</v>
      </c>
      <c r="E1159" s="3">
        <v>7.33</v>
      </c>
      <c r="F1159" s="3">
        <v>9.12</v>
      </c>
      <c r="G1159" s="3">
        <v>80.3</v>
      </c>
      <c r="H1159" s="5" t="str">
        <f t="shared" si="1"/>
        <v>October 2024</v>
      </c>
      <c r="I1159" s="6">
        <f t="shared" si="2"/>
        <v>45566</v>
      </c>
    </row>
    <row r="1160">
      <c r="A1160" s="4">
        <v>45597.0</v>
      </c>
      <c r="B1160" s="3">
        <v>2024.0</v>
      </c>
      <c r="C1160" s="3">
        <v>11.0</v>
      </c>
      <c r="D1160" s="3" t="s">
        <v>12</v>
      </c>
      <c r="E1160" s="3">
        <v>7.45</v>
      </c>
      <c r="F1160" s="3">
        <v>9.11</v>
      </c>
      <c r="G1160" s="3">
        <v>81.8</v>
      </c>
      <c r="H1160" s="5" t="str">
        <f t="shared" si="1"/>
        <v>November 2024</v>
      </c>
      <c r="I1160" s="6">
        <f t="shared" si="2"/>
        <v>45597</v>
      </c>
    </row>
    <row r="1161">
      <c r="A1161" s="4">
        <v>45627.0</v>
      </c>
      <c r="B1161" s="3">
        <v>2024.0</v>
      </c>
      <c r="C1161" s="3">
        <v>12.0</v>
      </c>
      <c r="D1161" s="3" t="s">
        <v>12</v>
      </c>
      <c r="E1161" s="3">
        <v>6.98</v>
      </c>
      <c r="F1161" s="3">
        <v>8.46</v>
      </c>
      <c r="G1161" s="3">
        <v>82.5</v>
      </c>
      <c r="H1161" s="5" t="str">
        <f t="shared" si="1"/>
        <v>December 2024</v>
      </c>
      <c r="I1161" s="6">
        <f t="shared" si="2"/>
        <v>45627</v>
      </c>
    </row>
    <row r="1162">
      <c r="A1162" s="2">
        <v>45658.0</v>
      </c>
      <c r="B1162" s="3">
        <v>2025.0</v>
      </c>
      <c r="C1162" s="3">
        <v>1.0</v>
      </c>
      <c r="D1162" s="3" t="s">
        <v>12</v>
      </c>
      <c r="E1162" s="3">
        <v>6.47</v>
      </c>
      <c r="F1162" s="3">
        <v>7.99</v>
      </c>
      <c r="G1162" s="3">
        <v>80.9</v>
      </c>
      <c r="H1162" s="5" t="str">
        <f t="shared" si="1"/>
        <v>January 2025</v>
      </c>
      <c r="I1162" s="6">
        <f t="shared" si="2"/>
        <v>45658</v>
      </c>
    </row>
    <row r="1163">
      <c r="A1163" s="2">
        <v>45689.0</v>
      </c>
      <c r="B1163" s="3">
        <v>2025.0</v>
      </c>
      <c r="C1163" s="3">
        <v>2.0</v>
      </c>
      <c r="D1163" s="3" t="s">
        <v>12</v>
      </c>
      <c r="E1163" s="3">
        <v>6.36</v>
      </c>
      <c r="F1163" s="3">
        <v>7.55</v>
      </c>
      <c r="G1163" s="3">
        <v>84.3</v>
      </c>
      <c r="H1163" s="5" t="str">
        <f t="shared" si="1"/>
        <v>February 2025</v>
      </c>
      <c r="I1163" s="6">
        <f t="shared" si="2"/>
        <v>45689</v>
      </c>
    </row>
    <row r="1164">
      <c r="A1164" s="2">
        <v>45717.0</v>
      </c>
      <c r="B1164" s="3">
        <v>2025.0</v>
      </c>
      <c r="C1164" s="3">
        <v>3.0</v>
      </c>
      <c r="D1164" s="3" t="s">
        <v>12</v>
      </c>
      <c r="E1164" s="3">
        <v>6.45</v>
      </c>
      <c r="F1164" s="3">
        <v>7.88</v>
      </c>
      <c r="G1164" s="3">
        <v>81.9</v>
      </c>
      <c r="H1164" s="5" t="str">
        <f t="shared" si="1"/>
        <v>March 2025</v>
      </c>
      <c r="I1164" s="6">
        <f t="shared" si="2"/>
        <v>45717</v>
      </c>
    </row>
    <row r="1165">
      <c r="A1165" s="2">
        <v>45748.0</v>
      </c>
      <c r="B1165" s="3">
        <v>2025.0</v>
      </c>
      <c r="C1165" s="3">
        <v>4.0</v>
      </c>
      <c r="D1165" s="3" t="s">
        <v>12</v>
      </c>
      <c r="E1165" s="3">
        <v>7.09</v>
      </c>
      <c r="F1165" s="3">
        <v>8.33</v>
      </c>
      <c r="G1165" s="3">
        <v>85.1</v>
      </c>
      <c r="H1165" s="5" t="str">
        <f t="shared" si="1"/>
        <v>April 2025</v>
      </c>
      <c r="I1165" s="6">
        <f t="shared" si="2"/>
        <v>45748</v>
      </c>
    </row>
    <row r="1166">
      <c r="A1166" s="2">
        <v>45778.0</v>
      </c>
      <c r="B1166" s="3">
        <v>2025.0</v>
      </c>
      <c r="C1166" s="3">
        <v>5.0</v>
      </c>
      <c r="D1166" s="3" t="s">
        <v>12</v>
      </c>
      <c r="E1166" s="3">
        <v>7.6</v>
      </c>
      <c r="F1166" s="3">
        <v>9.05</v>
      </c>
      <c r="G1166" s="3">
        <v>83.9</v>
      </c>
      <c r="H1166" s="5" t="str">
        <f t="shared" si="1"/>
        <v>May 2025</v>
      </c>
      <c r="I1166" s="6">
        <f t="shared" si="2"/>
        <v>45778</v>
      </c>
    </row>
    <row r="1167">
      <c r="A1167" s="2">
        <v>45809.0</v>
      </c>
      <c r="B1167" s="3">
        <v>2025.0</v>
      </c>
      <c r="C1167" s="3">
        <v>6.0</v>
      </c>
      <c r="D1167" s="3" t="s">
        <v>12</v>
      </c>
      <c r="E1167" s="3">
        <v>8.6</v>
      </c>
      <c r="F1167" s="3">
        <v>10.5</v>
      </c>
      <c r="G1167" s="3">
        <v>81.9</v>
      </c>
      <c r="H1167" s="5" t="str">
        <f t="shared" si="1"/>
        <v>June 2025</v>
      </c>
      <c r="I1167" s="6">
        <f t="shared" si="2"/>
        <v>45809</v>
      </c>
    </row>
    <row r="1168">
      <c r="A1168" s="2">
        <v>45839.0</v>
      </c>
      <c r="B1168" s="3">
        <v>2025.0</v>
      </c>
      <c r="C1168" s="3">
        <v>7.0</v>
      </c>
      <c r="D1168" s="3" t="s">
        <v>12</v>
      </c>
      <c r="E1168" s="3">
        <v>8.7</v>
      </c>
      <c r="F1168" s="3">
        <v>10.7</v>
      </c>
      <c r="G1168" s="3">
        <v>81.3</v>
      </c>
      <c r="H1168" s="5" t="str">
        <f t="shared" si="1"/>
        <v>July 2025</v>
      </c>
      <c r="I1168" s="6">
        <f t="shared" si="2"/>
        <v>45839</v>
      </c>
    </row>
    <row r="1169">
      <c r="A1169" s="2">
        <v>45870.0</v>
      </c>
      <c r="B1169" s="3">
        <v>2025.0</v>
      </c>
      <c r="C1169" s="3">
        <v>8.0</v>
      </c>
      <c r="D1169" s="3" t="s">
        <v>12</v>
      </c>
      <c r="E1169" s="3">
        <v>8.89</v>
      </c>
      <c r="F1169" s="3">
        <v>10.62</v>
      </c>
      <c r="G1169" s="3">
        <v>83.7</v>
      </c>
      <c r="H1169" s="5" t="str">
        <f t="shared" si="1"/>
        <v>August 2025</v>
      </c>
      <c r="I1169" s="6">
        <f t="shared" si="2"/>
        <v>45870</v>
      </c>
    </row>
    <row r="1170">
      <c r="A1170" s="2">
        <v>45901.0</v>
      </c>
      <c r="B1170" s="3">
        <v>2025.0</v>
      </c>
      <c r="C1170" s="3">
        <v>9.0</v>
      </c>
      <c r="D1170" s="3" t="s">
        <v>12</v>
      </c>
      <c r="E1170" s="3">
        <v>8.91</v>
      </c>
      <c r="F1170" s="3">
        <v>10.81</v>
      </c>
      <c r="G1170" s="3">
        <v>82.5</v>
      </c>
      <c r="H1170" s="5" t="str">
        <f t="shared" si="1"/>
        <v>September 2025</v>
      </c>
      <c r="I1170" s="6">
        <f t="shared" si="2"/>
        <v>45901</v>
      </c>
    </row>
    <row r="1171">
      <c r="A1171" s="4">
        <v>45931.0</v>
      </c>
      <c r="B1171" s="3">
        <v>2025.0</v>
      </c>
      <c r="C1171" s="3">
        <v>10.0</v>
      </c>
      <c r="D1171" s="3" t="s">
        <v>12</v>
      </c>
      <c r="E1171" s="3">
        <v>8.18</v>
      </c>
      <c r="F1171" s="3">
        <v>10.22</v>
      </c>
      <c r="G1171" s="3">
        <v>80.1</v>
      </c>
      <c r="H1171" s="5" t="str">
        <f t="shared" si="1"/>
        <v>October 2025</v>
      </c>
      <c r="I1171" s="6">
        <f t="shared" si="2"/>
        <v>45931</v>
      </c>
    </row>
    <row r="1172">
      <c r="A1172" s="4">
        <v>45962.0</v>
      </c>
      <c r="B1172" s="3">
        <v>2025.0</v>
      </c>
      <c r="C1172" s="3">
        <v>11.0</v>
      </c>
      <c r="D1172" s="3" t="s">
        <v>12</v>
      </c>
      <c r="E1172" s="3">
        <v>8.44</v>
      </c>
      <c r="F1172" s="3">
        <v>10.34</v>
      </c>
      <c r="G1172" s="3">
        <v>81.6</v>
      </c>
      <c r="H1172" s="5" t="str">
        <f t="shared" si="1"/>
        <v>November 2025</v>
      </c>
      <c r="I1172" s="6">
        <f t="shared" si="2"/>
        <v>45962</v>
      </c>
    </row>
    <row r="1173">
      <c r="A1173" s="4">
        <v>45992.0</v>
      </c>
      <c r="B1173" s="3">
        <v>2025.0</v>
      </c>
      <c r="C1173" s="3">
        <v>12.0</v>
      </c>
      <c r="D1173" s="3" t="s">
        <v>12</v>
      </c>
      <c r="E1173" s="3">
        <v>7.19</v>
      </c>
      <c r="F1173" s="3">
        <v>8.48</v>
      </c>
      <c r="G1173" s="3">
        <v>84.9</v>
      </c>
      <c r="H1173" s="5" t="str">
        <f t="shared" si="1"/>
        <v>December 2025</v>
      </c>
      <c r="I1173" s="6">
        <f t="shared" si="2"/>
        <v>45992</v>
      </c>
    </row>
    <row r="1174">
      <c r="A1174" s="2">
        <v>46023.0</v>
      </c>
      <c r="B1174" s="3">
        <v>2026.0</v>
      </c>
      <c r="C1174" s="3">
        <v>1.0</v>
      </c>
      <c r="D1174" s="3" t="s">
        <v>12</v>
      </c>
      <c r="E1174" s="3">
        <v>7.02</v>
      </c>
      <c r="F1174" s="3">
        <v>8.44</v>
      </c>
      <c r="G1174" s="3">
        <v>83.2</v>
      </c>
      <c r="H1174" s="5" t="str">
        <f t="shared" si="1"/>
        <v>January 2026</v>
      </c>
      <c r="I1174" s="6">
        <f t="shared" si="2"/>
        <v>46023</v>
      </c>
    </row>
    <row r="1175">
      <c r="A1175" s="2">
        <v>46054.0</v>
      </c>
      <c r="B1175" s="3">
        <v>2026.0</v>
      </c>
      <c r="C1175" s="3">
        <v>2.0</v>
      </c>
      <c r="D1175" s="3" t="s">
        <v>12</v>
      </c>
      <c r="E1175" s="3">
        <v>6.77</v>
      </c>
      <c r="F1175" s="3">
        <v>8.32</v>
      </c>
      <c r="G1175" s="3">
        <v>81.4</v>
      </c>
      <c r="H1175" s="5" t="str">
        <f t="shared" si="1"/>
        <v>February 2026</v>
      </c>
      <c r="I1175" s="6">
        <f t="shared" si="2"/>
        <v>46054</v>
      </c>
    </row>
    <row r="1176">
      <c r="A1176" s="2">
        <v>46082.0</v>
      </c>
      <c r="B1176" s="3">
        <v>2026.0</v>
      </c>
      <c r="C1176" s="3">
        <v>3.0</v>
      </c>
      <c r="D1176" s="3" t="s">
        <v>12</v>
      </c>
      <c r="E1176" s="3">
        <v>6.93</v>
      </c>
      <c r="F1176" s="3">
        <v>8.74</v>
      </c>
      <c r="G1176" s="3">
        <v>79.2</v>
      </c>
      <c r="H1176" s="5" t="str">
        <f t="shared" si="1"/>
        <v>March 2026</v>
      </c>
      <c r="I1176" s="6">
        <f t="shared" si="2"/>
        <v>46082</v>
      </c>
    </row>
    <row r="1177">
      <c r="A1177" s="2">
        <v>46113.0</v>
      </c>
      <c r="B1177" s="3">
        <v>2026.0</v>
      </c>
      <c r="C1177" s="3">
        <v>4.0</v>
      </c>
      <c r="D1177" s="3" t="s">
        <v>12</v>
      </c>
      <c r="E1177" s="3">
        <v>7.38</v>
      </c>
      <c r="F1177" s="3">
        <v>8.94</v>
      </c>
      <c r="G1177" s="3">
        <v>82.6</v>
      </c>
      <c r="H1177" s="5" t="str">
        <f t="shared" si="1"/>
        <v>April 2026</v>
      </c>
      <c r="I1177" s="6">
        <f t="shared" si="2"/>
        <v>46113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5" max="5" width="18.0"/>
    <col customWidth="1" min="6" max="6" width="18.38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>
      <c r="A2" s="1" t="s">
        <v>10</v>
      </c>
      <c r="B2" s="5">
        <f>VLOOKUP($A2,Pivot!$A$2:$S$8,2,FALSE)</f>
        <v>203.1</v>
      </c>
      <c r="C2" s="5">
        <f>VLOOKUP($A2,Pivot!$A$2:$S$8,11,FALSE)</f>
        <v>263.85</v>
      </c>
      <c r="D2" s="5">
        <f>VLOOKUP($A2,Pivot!$A$2:$S$8,17,FALSE)</f>
        <v>438.26</v>
      </c>
      <c r="E2" s="7">
        <f t="shared" ref="E2:E7" si="1">(D2-B2)/B2</f>
        <v>1.157853274</v>
      </c>
      <c r="F2" s="7">
        <f t="shared" ref="F2:F7" si="2">(D2-C2)/C2</f>
        <v>0.6610195187</v>
      </c>
    </row>
    <row r="3">
      <c r="A3" s="1" t="s">
        <v>12</v>
      </c>
      <c r="B3" s="5">
        <f>VLOOKUP($A3,Pivot!$A$2:$S$8,2,FALSE)</f>
        <v>55.58</v>
      </c>
      <c r="C3" s="5">
        <f>VLOOKUP($A3,Pivot!$A$2:$S$8,11,FALSE)</f>
        <v>58.59</v>
      </c>
      <c r="D3" s="5">
        <f>VLOOKUP($A3,Pivot!$A$2:$S$8,17,FALSE)</f>
        <v>92.88</v>
      </c>
      <c r="E3" s="7">
        <f t="shared" si="1"/>
        <v>0.6711047139</v>
      </c>
      <c r="F3" s="7">
        <f t="shared" si="2"/>
        <v>0.5852534562</v>
      </c>
    </row>
    <row r="4">
      <c r="A4" s="1" t="s">
        <v>8</v>
      </c>
      <c r="B4" s="5">
        <f>VLOOKUP($A4,Pivot!$A$2:$S$8,2,FALSE)</f>
        <v>952.97</v>
      </c>
      <c r="C4" s="5">
        <f>VLOOKUP($A4,Pivot!$A$2:$S$8,11,FALSE)</f>
        <v>1015.92</v>
      </c>
      <c r="D4" s="5">
        <f>VLOOKUP($A4,Pivot!$A$2:$S$8,17,FALSE)</f>
        <v>1522.2</v>
      </c>
      <c r="E4" s="7">
        <f t="shared" si="1"/>
        <v>0.5973220563</v>
      </c>
      <c r="F4" s="7">
        <f t="shared" si="2"/>
        <v>0.4983463265</v>
      </c>
    </row>
    <row r="5">
      <c r="A5" s="1" t="s">
        <v>9</v>
      </c>
      <c r="B5" s="5">
        <f>VLOOKUP($A5,Pivot!$A$2:$S$8,2,FALSE)</f>
        <v>972.99</v>
      </c>
      <c r="C5" s="5">
        <f>VLOOKUP($A5,Pivot!$A$2:$S$8,11,FALSE)</f>
        <v>1310.36</v>
      </c>
      <c r="D5" s="5">
        <f>VLOOKUP($A5,Pivot!$A$2:$S$8,17,FALSE)</f>
        <v>1902.63</v>
      </c>
      <c r="E5" s="7">
        <f t="shared" si="1"/>
        <v>0.955446613</v>
      </c>
      <c r="F5" s="7">
        <f t="shared" si="2"/>
        <v>0.4519902927</v>
      </c>
    </row>
    <row r="6">
      <c r="A6" s="1" t="s">
        <v>7</v>
      </c>
      <c r="B6" s="5">
        <f>VLOOKUP($A6,Pivot!$A$2:$S$8,2,FALSE)</f>
        <v>857.34</v>
      </c>
      <c r="C6" s="5">
        <f>VLOOKUP($A6,Pivot!$A$2:$S$8,11,FALSE)</f>
        <v>829.66</v>
      </c>
      <c r="D6" s="5">
        <f>VLOOKUP($A6,Pivot!$A$2:$S$8,17,FALSE)</f>
        <v>1203.25</v>
      </c>
      <c r="E6" s="7">
        <f t="shared" si="1"/>
        <v>0.4034688688</v>
      </c>
      <c r="F6" s="7">
        <f t="shared" si="2"/>
        <v>0.4502928911</v>
      </c>
    </row>
    <row r="7">
      <c r="A7" s="1" t="s">
        <v>11</v>
      </c>
      <c r="B7" s="5">
        <f>VLOOKUP($A7,Pivot!$A$2:$S$8,2,FALSE)</f>
        <v>134.6</v>
      </c>
      <c r="C7" s="5">
        <f>VLOOKUP($A7,Pivot!$A$2:$S$8,11,FALSE)</f>
        <v>155.78</v>
      </c>
      <c r="D7" s="5">
        <f>VLOOKUP($A7,Pivot!$A$2:$S$8,17,FALSE)</f>
        <v>224.78</v>
      </c>
      <c r="E7" s="7">
        <f t="shared" si="1"/>
        <v>0.6699851412</v>
      </c>
      <c r="F7" s="7">
        <f t="shared" si="2"/>
        <v>0.4429323405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5" width="12.63"/>
    <col customWidth="1" min="6" max="6" width="12.25"/>
    <col customWidth="1" min="7" max="7" width="13.13"/>
  </cols>
  <sheetData>
    <row r="1">
      <c r="A1" s="1" t="s">
        <v>26</v>
      </c>
      <c r="B1" s="1" t="s">
        <v>12</v>
      </c>
      <c r="C1" s="1" t="s">
        <v>9</v>
      </c>
      <c r="D1" s="1" t="s">
        <v>8</v>
      </c>
      <c r="E1" s="1" t="s">
        <v>11</v>
      </c>
      <c r="F1" s="1" t="s">
        <v>10</v>
      </c>
      <c r="G1" s="1" t="s">
        <v>7</v>
      </c>
    </row>
    <row r="2">
      <c r="A2" s="1">
        <v>2010.0</v>
      </c>
      <c r="B2" s="7">
        <f>VLOOKUP(B$1,Pivot!$A$2:$S$8,$A2-2008,FALSE)/VLOOKUP(B$1,Pivot!$A$2:$S$8,2,FALSE)-1</f>
        <v>0</v>
      </c>
      <c r="C2" s="7">
        <f>VLOOKUP(C$1,Pivot!$A$2:$S$8,$A2-2008,FALSE)/VLOOKUP(C$1,Pivot!$A$2:$S$8,2,FALSE)-1</f>
        <v>0</v>
      </c>
      <c r="D2" s="7">
        <f>VLOOKUP(D$1,Pivot!$A$2:$S$8,$A2-2008,FALSE)/VLOOKUP(D$1,Pivot!$A$2:$S$8,2,FALSE)-1</f>
        <v>0</v>
      </c>
      <c r="E2" s="7">
        <f>VLOOKUP(E$1,Pivot!$A$2:$S$8,$A2-2008,FALSE)/VLOOKUP(E$1,Pivot!$A$2:$S$8,2,FALSE)-1</f>
        <v>0</v>
      </c>
      <c r="F2" s="7">
        <f>VLOOKUP(F$1,Pivot!$A$2:$S$8,$A2-2008,FALSE)/VLOOKUP(F$1,Pivot!$A$2:$S$8,2,FALSE)-1</f>
        <v>0</v>
      </c>
      <c r="G2" s="7">
        <f>VLOOKUP(G$1,Pivot!$A$2:$S$8,$A2-2008,FALSE)/VLOOKUP(G$1,Pivot!$A$2:$S$8,2,FALSE)-1</f>
        <v>0</v>
      </c>
    </row>
    <row r="3">
      <c r="A3" s="1">
        <v>2011.0</v>
      </c>
      <c r="B3" s="7">
        <f>VLOOKUP(B$1,Pivot!$A$2:$S$8,$A3-2008,FALSE)/VLOOKUP(B$1,Pivot!$A$2:$S$8,2,FALSE)-1</f>
        <v>0.07736595898</v>
      </c>
      <c r="C3" s="7">
        <f>VLOOKUP(C$1,Pivot!$A$2:$S$8,$A3-2008,FALSE)/VLOOKUP(C$1,Pivot!$A$2:$S$8,2,FALSE)-1</f>
        <v>0.08030915015</v>
      </c>
      <c r="D3" s="7">
        <f>VLOOKUP(D$1,Pivot!$A$2:$S$8,$A3-2008,FALSE)/VLOOKUP(D$1,Pivot!$A$2:$S$8,2,FALSE)-1</f>
        <v>0.05304469186</v>
      </c>
      <c r="E3" s="7">
        <f>VLOOKUP(E$1,Pivot!$A$2:$S$8,$A3-2008,FALSE)/VLOOKUP(E$1,Pivot!$A$2:$S$8,2,FALSE)-1</f>
        <v>0.05468053492</v>
      </c>
      <c r="F3" s="7">
        <f>VLOOKUP(F$1,Pivot!$A$2:$S$8,$A3-2008,FALSE)/VLOOKUP(F$1,Pivot!$A$2:$S$8,2,FALSE)-1</f>
        <v>0.1066962088</v>
      </c>
      <c r="G3" s="7">
        <f>VLOOKUP(G$1,Pivot!$A$2:$S$8,$A3-2008,FALSE)/VLOOKUP(G$1,Pivot!$A$2:$S$8,2,FALSE)-1</f>
        <v>0.0394592577</v>
      </c>
    </row>
    <row r="4">
      <c r="A4" s="1">
        <v>2012.0</v>
      </c>
      <c r="B4" s="7">
        <f>VLOOKUP(B$1,Pivot!$A$2:$S$8,$A4-2008,FALSE)/VLOOKUP(B$1,Pivot!$A$2:$S$8,2,FALSE)-1</f>
        <v>0.136200072</v>
      </c>
      <c r="C4" s="7">
        <f>VLOOKUP(C$1,Pivot!$A$2:$S$8,$A4-2008,FALSE)/VLOOKUP(C$1,Pivot!$A$2:$S$8,2,FALSE)-1</f>
        <v>0.1627252079</v>
      </c>
      <c r="D4" s="7">
        <f>VLOOKUP(D$1,Pivot!$A$2:$S$8,$A4-2008,FALSE)/VLOOKUP(D$1,Pivot!$A$2:$S$8,2,FALSE)-1</f>
        <v>0.1106225799</v>
      </c>
      <c r="E4" s="7">
        <f>VLOOKUP(E$1,Pivot!$A$2:$S$8,$A4-2008,FALSE)/VLOOKUP(E$1,Pivot!$A$2:$S$8,2,FALSE)-1</f>
        <v>0.1201337296</v>
      </c>
      <c r="F4" s="7">
        <f>VLOOKUP(F$1,Pivot!$A$2:$S$8,$A4-2008,FALSE)/VLOOKUP(F$1,Pivot!$A$2:$S$8,2,FALSE)-1</f>
        <v>0.2255539143</v>
      </c>
      <c r="G4" s="7">
        <f>VLOOKUP(G$1,Pivot!$A$2:$S$8,$A4-2008,FALSE)/VLOOKUP(G$1,Pivot!$A$2:$S$8,2,FALSE)-1</f>
        <v>0.09150395409</v>
      </c>
    </row>
    <row r="5">
      <c r="A5" s="1">
        <v>2013.0</v>
      </c>
      <c r="B5" s="7">
        <f>VLOOKUP(B$1,Pivot!$A$2:$S$8,$A5-2008,FALSE)/VLOOKUP(B$1,Pivot!$A$2:$S$8,2,FALSE)-1</f>
        <v>0.1858582224</v>
      </c>
      <c r="C5" s="7">
        <f>VLOOKUP(C$1,Pivot!$A$2:$S$8,$A5-2008,FALSE)/VLOOKUP(C$1,Pivot!$A$2:$S$8,2,FALSE)-1</f>
        <v>0.2433426859</v>
      </c>
      <c r="D5" s="7">
        <f>VLOOKUP(D$1,Pivot!$A$2:$S$8,$A5-2008,FALSE)/VLOOKUP(D$1,Pivot!$A$2:$S$8,2,FALSE)-1</f>
        <v>0.1769310681</v>
      </c>
      <c r="E5" s="7">
        <f>VLOOKUP(E$1,Pivot!$A$2:$S$8,$A5-2008,FALSE)/VLOOKUP(E$1,Pivot!$A$2:$S$8,2,FALSE)-1</f>
        <v>0.1741456166</v>
      </c>
      <c r="F5" s="7">
        <f>VLOOKUP(F$1,Pivot!$A$2:$S$8,$A5-2008,FALSE)/VLOOKUP(F$1,Pivot!$A$2:$S$8,2,FALSE)-1</f>
        <v>0.3551944855</v>
      </c>
      <c r="G5" s="7">
        <f>VLOOKUP(G$1,Pivot!$A$2:$S$8,$A5-2008,FALSE)/VLOOKUP(G$1,Pivot!$A$2:$S$8,2,FALSE)-1</f>
        <v>0.1154034572</v>
      </c>
    </row>
    <row r="6">
      <c r="A6" s="1">
        <v>2014.0</v>
      </c>
      <c r="B6" s="7">
        <f>VLOOKUP(B$1,Pivot!$A$2:$S$8,$A6-2008,FALSE)/VLOOKUP(B$1,Pivot!$A$2:$S$8,2,FALSE)-1</f>
        <v>0.260345448</v>
      </c>
      <c r="C6" s="7">
        <f>VLOOKUP(C$1,Pivot!$A$2:$S$8,$A6-2008,FALSE)/VLOOKUP(C$1,Pivot!$A$2:$S$8,2,FALSE)-1</f>
        <v>0.3144122756</v>
      </c>
      <c r="D6" s="7">
        <f>VLOOKUP(D$1,Pivot!$A$2:$S$8,$A6-2008,FALSE)/VLOOKUP(D$1,Pivot!$A$2:$S$8,2,FALSE)-1</f>
        <v>0.2335435533</v>
      </c>
      <c r="E6" s="7">
        <f>VLOOKUP(E$1,Pivot!$A$2:$S$8,$A6-2008,FALSE)/VLOOKUP(E$1,Pivot!$A$2:$S$8,2,FALSE)-1</f>
        <v>0.2101040119</v>
      </c>
      <c r="F6" s="7">
        <f>VLOOKUP(F$1,Pivot!$A$2:$S$8,$A6-2008,FALSE)/VLOOKUP(F$1,Pivot!$A$2:$S$8,2,FALSE)-1</f>
        <v>0.4916789759</v>
      </c>
      <c r="G6" s="7">
        <f>VLOOKUP(G$1,Pivot!$A$2:$S$8,$A6-2008,FALSE)/VLOOKUP(G$1,Pivot!$A$2:$S$8,2,FALSE)-1</f>
        <v>0.1668182985</v>
      </c>
    </row>
    <row r="7">
      <c r="A7" s="1">
        <v>2015.0</v>
      </c>
      <c r="B7" s="7">
        <f>VLOOKUP(B$1,Pivot!$A$2:$S$8,$A7-2008,FALSE)/VLOOKUP(B$1,Pivot!$A$2:$S$8,2,FALSE)-1</f>
        <v>0.3341129903</v>
      </c>
      <c r="C7" s="7">
        <f>VLOOKUP(C$1,Pivot!$A$2:$S$8,$A7-2008,FALSE)/VLOOKUP(C$1,Pivot!$A$2:$S$8,2,FALSE)-1</f>
        <v>0.4111655824</v>
      </c>
      <c r="D7" s="7">
        <f>VLOOKUP(D$1,Pivot!$A$2:$S$8,$A7-2008,FALSE)/VLOOKUP(D$1,Pivot!$A$2:$S$8,2,FALSE)-1</f>
        <v>0.296074378</v>
      </c>
      <c r="E7" s="7">
        <f>VLOOKUP(E$1,Pivot!$A$2:$S$8,$A7-2008,FALSE)/VLOOKUP(E$1,Pivot!$A$2:$S$8,2,FALSE)-1</f>
        <v>0.2761515602</v>
      </c>
      <c r="F7" s="7">
        <f>VLOOKUP(F$1,Pivot!$A$2:$S$8,$A7-2008,FALSE)/VLOOKUP(F$1,Pivot!$A$2:$S$8,2,FALSE)-1</f>
        <v>0.5612506155</v>
      </c>
      <c r="G7" s="7">
        <f>VLOOKUP(G$1,Pivot!$A$2:$S$8,$A7-2008,FALSE)/VLOOKUP(G$1,Pivot!$A$2:$S$8,2,FALSE)-1</f>
        <v>0.2168101337</v>
      </c>
    </row>
    <row r="8">
      <c r="A8" s="1">
        <v>2016.0</v>
      </c>
      <c r="B8" s="7">
        <f>VLOOKUP(B$1,Pivot!$A$2:$S$8,$A8-2008,FALSE)/VLOOKUP(B$1,Pivot!$A$2:$S$8,2,FALSE)-1</f>
        <v>0.4033825117</v>
      </c>
      <c r="C8" s="7">
        <f>VLOOKUP(C$1,Pivot!$A$2:$S$8,$A8-2008,FALSE)/VLOOKUP(C$1,Pivot!$A$2:$S$8,2,FALSE)-1</f>
        <v>0.5513828508</v>
      </c>
      <c r="D8" s="7">
        <f>VLOOKUP(D$1,Pivot!$A$2:$S$8,$A8-2008,FALSE)/VLOOKUP(D$1,Pivot!$A$2:$S$8,2,FALSE)-1</f>
        <v>0.3609872294</v>
      </c>
      <c r="E8" s="7">
        <f>VLOOKUP(E$1,Pivot!$A$2:$S$8,$A8-2008,FALSE)/VLOOKUP(E$1,Pivot!$A$2:$S$8,2,FALSE)-1</f>
        <v>0.376820208</v>
      </c>
      <c r="F8" s="7">
        <f>VLOOKUP(F$1,Pivot!$A$2:$S$8,$A8-2008,FALSE)/VLOOKUP(F$1,Pivot!$A$2:$S$8,2,FALSE)-1</f>
        <v>0.6860659774</v>
      </c>
      <c r="G8" s="7">
        <f>VLOOKUP(G$1,Pivot!$A$2:$S$8,$A8-2008,FALSE)/VLOOKUP(G$1,Pivot!$A$2:$S$8,2,FALSE)-1</f>
        <v>0.2503790795</v>
      </c>
    </row>
    <row r="9">
      <c r="A9" s="1">
        <v>2017.0</v>
      </c>
      <c r="B9" s="7">
        <f>VLOOKUP(B$1,Pivot!$A$2:$S$8,$A9-2008,FALSE)/VLOOKUP(B$1,Pivot!$A$2:$S$8,2,FALSE)-1</f>
        <v>0.4409859662</v>
      </c>
      <c r="C9" s="7">
        <f>VLOOKUP(C$1,Pivot!$A$2:$S$8,$A9-2008,FALSE)/VLOOKUP(C$1,Pivot!$A$2:$S$8,2,FALSE)-1</f>
        <v>0.6599142848</v>
      </c>
      <c r="D9" s="7">
        <f>VLOOKUP(D$1,Pivot!$A$2:$S$8,$A9-2008,FALSE)/VLOOKUP(D$1,Pivot!$A$2:$S$8,2,FALSE)-1</f>
        <v>0.4444945801</v>
      </c>
      <c r="E9" s="7">
        <f>VLOOKUP(E$1,Pivot!$A$2:$S$8,$A9-2008,FALSE)/VLOOKUP(E$1,Pivot!$A$2:$S$8,2,FALSE)-1</f>
        <v>0.4656760773</v>
      </c>
      <c r="F9" s="7">
        <f>VLOOKUP(F$1,Pivot!$A$2:$S$8,$A9-2008,FALSE)/VLOOKUP(F$1,Pivot!$A$2:$S$8,2,FALSE)-1</f>
        <v>0.7772525849</v>
      </c>
      <c r="G9" s="7">
        <f>VLOOKUP(G$1,Pivot!$A$2:$S$8,$A9-2008,FALSE)/VLOOKUP(G$1,Pivot!$A$2:$S$8,2,FALSE)-1</f>
        <v>0.2707327315</v>
      </c>
    </row>
    <row r="10">
      <c r="A10" s="1">
        <v>2018.0</v>
      </c>
      <c r="B10" s="7">
        <f>VLOOKUP(B$1,Pivot!$A$2:$S$8,$A10-2008,FALSE)/VLOOKUP(B$1,Pivot!$A$2:$S$8,2,FALSE)-1</f>
        <v>0.4868657791</v>
      </c>
      <c r="C10" s="7">
        <f>VLOOKUP(C$1,Pivot!$A$2:$S$8,$A10-2008,FALSE)/VLOOKUP(C$1,Pivot!$A$2:$S$8,2,FALSE)-1</f>
        <v>0.811077195</v>
      </c>
      <c r="D10" s="7">
        <f>VLOOKUP(D$1,Pivot!$A$2:$S$8,$A10-2008,FALSE)/VLOOKUP(D$1,Pivot!$A$2:$S$8,2,FALSE)-1</f>
        <v>0.5265958005</v>
      </c>
      <c r="E10" s="7">
        <f>VLOOKUP(E$1,Pivot!$A$2:$S$8,$A10-2008,FALSE)/VLOOKUP(E$1,Pivot!$A$2:$S$8,2,FALSE)-1</f>
        <v>0.5635958395</v>
      </c>
      <c r="F10" s="7">
        <f>VLOOKUP(F$1,Pivot!$A$2:$S$8,$A10-2008,FALSE)/VLOOKUP(F$1,Pivot!$A$2:$S$8,2,FALSE)-1</f>
        <v>0.839192516</v>
      </c>
      <c r="G10" s="7">
        <f>VLOOKUP(G$1,Pivot!$A$2:$S$8,$A10-2008,FALSE)/VLOOKUP(G$1,Pivot!$A$2:$S$8,2,FALSE)-1</f>
        <v>0.3338232207</v>
      </c>
    </row>
    <row r="11">
      <c r="A11" s="1">
        <v>2019.0</v>
      </c>
      <c r="B11" s="7">
        <f>VLOOKUP(B$1,Pivot!$A$2:$S$8,$A11-2008,FALSE)/VLOOKUP(B$1,Pivot!$A$2:$S$8,2,FALSE)-1</f>
        <v>0.05415617128</v>
      </c>
      <c r="C11" s="7">
        <f>VLOOKUP(C$1,Pivot!$A$2:$S$8,$A11-2008,FALSE)/VLOOKUP(C$1,Pivot!$A$2:$S$8,2,FALSE)-1</f>
        <v>0.346735321</v>
      </c>
      <c r="D11" s="7">
        <f>VLOOKUP(D$1,Pivot!$A$2:$S$8,$A11-2008,FALSE)/VLOOKUP(D$1,Pivot!$A$2:$S$8,2,FALSE)-1</f>
        <v>0.06605664397</v>
      </c>
      <c r="E11" s="7">
        <f>VLOOKUP(E$1,Pivot!$A$2:$S$8,$A11-2008,FALSE)/VLOOKUP(E$1,Pivot!$A$2:$S$8,2,FALSE)-1</f>
        <v>0.1573551263</v>
      </c>
      <c r="F11" s="7">
        <f>VLOOKUP(F$1,Pivot!$A$2:$S$8,$A11-2008,FALSE)/VLOOKUP(F$1,Pivot!$A$2:$S$8,2,FALSE)-1</f>
        <v>0.2991137371</v>
      </c>
      <c r="G11" s="7">
        <f>VLOOKUP(G$1,Pivot!$A$2:$S$8,$A11-2008,FALSE)/VLOOKUP(G$1,Pivot!$A$2:$S$8,2,FALSE)-1</f>
        <v>-0.03228590757</v>
      </c>
    </row>
    <row r="12">
      <c r="A12" s="1">
        <v>2020.0</v>
      </c>
      <c r="B12" s="7">
        <f>VLOOKUP(B$1,Pivot!$A$2:$S$8,$A12-2008,FALSE)/VLOOKUP(B$1,Pivot!$A$2:$S$8,2,FALSE)-1</f>
        <v>-0.7103274559</v>
      </c>
      <c r="C12" s="7">
        <f>VLOOKUP(C$1,Pivot!$A$2:$S$8,$A12-2008,FALSE)/VLOOKUP(C$1,Pivot!$A$2:$S$8,2,FALSE)-1</f>
        <v>-0.6631003402</v>
      </c>
      <c r="D12" s="7">
        <f>VLOOKUP(D$1,Pivot!$A$2:$S$8,$A12-2008,FALSE)/VLOOKUP(D$1,Pivot!$A$2:$S$8,2,FALSE)-1</f>
        <v>-0.7153635476</v>
      </c>
      <c r="E12" s="7">
        <f>VLOOKUP(E$1,Pivot!$A$2:$S$8,$A12-2008,FALSE)/VLOOKUP(E$1,Pivot!$A$2:$S$8,2,FALSE)-1</f>
        <v>-0.6664933135</v>
      </c>
      <c r="F12" s="7">
        <f>VLOOKUP(F$1,Pivot!$A$2:$S$8,$A12-2008,FALSE)/VLOOKUP(F$1,Pivot!$A$2:$S$8,2,FALSE)-1</f>
        <v>-0.6506154604</v>
      </c>
      <c r="G12" s="7">
        <f>VLOOKUP(G$1,Pivot!$A$2:$S$8,$A12-2008,FALSE)/VLOOKUP(G$1,Pivot!$A$2:$S$8,2,FALSE)-1</f>
        <v>-0.7022884737</v>
      </c>
    </row>
    <row r="13">
      <c r="A13" s="1">
        <v>2021.0</v>
      </c>
      <c r="B13" s="7">
        <f>VLOOKUP(B$1,Pivot!$A$2:$S$8,$A13-2008,FALSE)/VLOOKUP(B$1,Pivot!$A$2:$S$8,2,FALSE)-1</f>
        <v>-0.4012234617</v>
      </c>
      <c r="C13" s="7">
        <f>VLOOKUP(C$1,Pivot!$A$2:$S$8,$A13-2008,FALSE)/VLOOKUP(C$1,Pivot!$A$2:$S$8,2,FALSE)-1</f>
        <v>-0.4729236683</v>
      </c>
      <c r="D13" s="7">
        <f>VLOOKUP(D$1,Pivot!$A$2:$S$8,$A13-2008,FALSE)/VLOOKUP(D$1,Pivot!$A$2:$S$8,2,FALSE)-1</f>
        <v>-0.38957155</v>
      </c>
      <c r="E13" s="7">
        <f>VLOOKUP(E$1,Pivot!$A$2:$S$8,$A13-2008,FALSE)/VLOOKUP(E$1,Pivot!$A$2:$S$8,2,FALSE)-1</f>
        <v>-0.3642644874</v>
      </c>
      <c r="F13" s="7">
        <f>VLOOKUP(F$1,Pivot!$A$2:$S$8,$A13-2008,FALSE)/VLOOKUP(F$1,Pivot!$A$2:$S$8,2,FALSE)-1</f>
        <v>-0.2843919252</v>
      </c>
      <c r="G13" s="7">
        <f>VLOOKUP(G$1,Pivot!$A$2:$S$8,$A13-2008,FALSE)/VLOOKUP(G$1,Pivot!$A$2:$S$8,2,FALSE)-1</f>
        <v>-0.3702731705</v>
      </c>
    </row>
    <row r="14">
      <c r="A14" s="1">
        <v>2022.0</v>
      </c>
      <c r="B14" s="7">
        <f>VLOOKUP(B$1,Pivot!$A$2:$S$8,$A14-2008,FALSE)/VLOOKUP(B$1,Pivot!$A$2:$S$8,2,FALSE)-1</f>
        <v>0.1781216265</v>
      </c>
      <c r="C14" s="7">
        <f>VLOOKUP(C$1,Pivot!$A$2:$S$8,$A14-2008,FALSE)/VLOOKUP(C$1,Pivot!$A$2:$S$8,2,FALSE)-1</f>
        <v>0.09878827121</v>
      </c>
      <c r="D14" s="7">
        <f>VLOOKUP(D$1,Pivot!$A$2:$S$8,$A14-2008,FALSE)/VLOOKUP(D$1,Pivot!$A$2:$S$8,2,FALSE)-1</f>
        <v>0.2157675478</v>
      </c>
      <c r="E14" s="7">
        <f>VLOOKUP(E$1,Pivot!$A$2:$S$8,$A14-2008,FALSE)/VLOOKUP(E$1,Pivot!$A$2:$S$8,2,FALSE)-1</f>
        <v>0.2144130758</v>
      </c>
      <c r="F14" s="7">
        <f>VLOOKUP(F$1,Pivot!$A$2:$S$8,$A14-2008,FALSE)/VLOOKUP(F$1,Pivot!$A$2:$S$8,2,FALSE)-1</f>
        <v>0.4304283604</v>
      </c>
      <c r="G14" s="7">
        <f>VLOOKUP(G$1,Pivot!$A$2:$S$8,$A14-2008,FALSE)/VLOOKUP(G$1,Pivot!$A$2:$S$8,2,FALSE)-1</f>
        <v>0.1737467049</v>
      </c>
    </row>
    <row r="15">
      <c r="A15" s="1">
        <v>2023.0</v>
      </c>
      <c r="B15" s="7">
        <f>VLOOKUP(B$1,Pivot!$A$2:$S$8,$A15-2008,FALSE)/VLOOKUP(B$1,Pivot!$A$2:$S$8,2,FALSE)-1</f>
        <v>0.3889888449</v>
      </c>
      <c r="C15" s="7">
        <f>VLOOKUP(C$1,Pivot!$A$2:$S$8,$A15-2008,FALSE)/VLOOKUP(C$1,Pivot!$A$2:$S$8,2,FALSE)-1</f>
        <v>0.5611362912</v>
      </c>
      <c r="D15" s="7">
        <f>VLOOKUP(D$1,Pivot!$A$2:$S$8,$A15-2008,FALSE)/VLOOKUP(D$1,Pivot!$A$2:$S$8,2,FALSE)-1</f>
        <v>0.4251970156</v>
      </c>
      <c r="E15" s="7">
        <f>VLOOKUP(E$1,Pivot!$A$2:$S$8,$A15-2008,FALSE)/VLOOKUP(E$1,Pivot!$A$2:$S$8,2,FALSE)-1</f>
        <v>0.3926448737</v>
      </c>
      <c r="F15" s="7">
        <f>VLOOKUP(F$1,Pivot!$A$2:$S$8,$A15-2008,FALSE)/VLOOKUP(F$1,Pivot!$A$2:$S$8,2,FALSE)-1</f>
        <v>0.792220581</v>
      </c>
      <c r="G15" s="7">
        <f>VLOOKUP(G$1,Pivot!$A$2:$S$8,$A15-2008,FALSE)/VLOOKUP(G$1,Pivot!$A$2:$S$8,2,FALSE)-1</f>
        <v>0.2835747778</v>
      </c>
    </row>
    <row r="16">
      <c r="A16" s="1">
        <v>2024.0</v>
      </c>
      <c r="B16" s="7">
        <f>VLOOKUP(B$1,Pivot!$A$2:$S$8,$A16-2008,FALSE)/VLOOKUP(B$1,Pivot!$A$2:$S$8,2,FALSE)-1</f>
        <v>0.5532565671</v>
      </c>
      <c r="C16" s="7">
        <f>VLOOKUP(C$1,Pivot!$A$2:$S$8,$A16-2008,FALSE)/VLOOKUP(C$1,Pivot!$A$2:$S$8,2,FALSE)-1</f>
        <v>0.8578505432</v>
      </c>
      <c r="D16" s="7">
        <f>VLOOKUP(D$1,Pivot!$A$2:$S$8,$A16-2008,FALSE)/VLOOKUP(D$1,Pivot!$A$2:$S$8,2,FALSE)-1</f>
        <v>0.5385374146</v>
      </c>
      <c r="E16" s="7">
        <f>VLOOKUP(E$1,Pivot!$A$2:$S$8,$A16-2008,FALSE)/VLOOKUP(E$1,Pivot!$A$2:$S$8,2,FALSE)-1</f>
        <v>0.5598811293</v>
      </c>
      <c r="F16" s="7">
        <f>VLOOKUP(F$1,Pivot!$A$2:$S$8,$A16-2008,FALSE)/VLOOKUP(F$1,Pivot!$A$2:$S$8,2,FALSE)-1</f>
        <v>0.9698670606</v>
      </c>
      <c r="G16" s="7">
        <f>VLOOKUP(G$1,Pivot!$A$2:$S$8,$A16-2008,FALSE)/VLOOKUP(G$1,Pivot!$A$2:$S$8,2,FALSE)-1</f>
        <v>0.3505027177</v>
      </c>
    </row>
    <row r="17">
      <c r="A17" s="1">
        <v>2025.0</v>
      </c>
      <c r="B17" s="7">
        <f>VLOOKUP(B$1,Pivot!$A$2:$S$8,$A17-2008,FALSE)/VLOOKUP(B$1,Pivot!$A$2:$S$8,2,FALSE)-1</f>
        <v>0.6711047139</v>
      </c>
      <c r="C17" s="7">
        <f>VLOOKUP(C$1,Pivot!$A$2:$S$8,$A17-2008,FALSE)/VLOOKUP(C$1,Pivot!$A$2:$S$8,2,FALSE)-1</f>
        <v>0.955446613</v>
      </c>
      <c r="D17" s="7">
        <f>VLOOKUP(D$1,Pivot!$A$2:$S$8,$A17-2008,FALSE)/VLOOKUP(D$1,Pivot!$A$2:$S$8,2,FALSE)-1</f>
        <v>0.5973220563</v>
      </c>
      <c r="E17" s="7">
        <f>VLOOKUP(E$1,Pivot!$A$2:$S$8,$A17-2008,FALSE)/VLOOKUP(E$1,Pivot!$A$2:$S$8,2,FALSE)-1</f>
        <v>0.6699851412</v>
      </c>
      <c r="F17" s="7">
        <f>VLOOKUP(F$1,Pivot!$A$2:$S$8,$A17-2008,FALSE)/VLOOKUP(F$1,Pivot!$A$2:$S$8,2,FALSE)-1</f>
        <v>1.157853274</v>
      </c>
      <c r="G17" s="7">
        <f>VLOOKUP(G$1,Pivot!$A$2:$S$8,$A17-2008,FALSE)/VLOOKUP(G$1,Pivot!$A$2:$S$8,2,FALSE)-1</f>
        <v>0.4034688688</v>
      </c>
    </row>
  </sheetData>
  <drawing r:id="rId1"/>
</worksheet>
</file>